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mc:AlternateContent xmlns:mc="http://schemas.openxmlformats.org/markup-compatibility/2006">
    <mc:Choice Requires="x15">
      <x15ac:absPath xmlns:x15ac="http://schemas.microsoft.com/office/spreadsheetml/2010/11/ac" url="D:\fu\ElefanteFugiu\historias\"/>
    </mc:Choice>
  </mc:AlternateContent>
  <xr:revisionPtr revIDLastSave="0" documentId="13_ncr:1_{947539AD-0E3D-4493-8E70-1E696F58E7F6}" xr6:coauthVersionLast="36" xr6:coauthVersionMax="36" xr10:uidLastSave="{00000000-0000-0000-0000-000000000000}"/>
  <bookViews>
    <workbookView xWindow="0" yWindow="0" windowWidth="28800" windowHeight="11505" tabRatio="500" xr2:uid="{00000000-000D-0000-FFFF-FFFF00000000}"/>
  </bookViews>
  <sheets>
    <sheet name="Старт" sheetId="1" r:id="rId1"/>
    <sheet name="К Reddit" sheetId="2" r:id="rId2"/>
    <sheet name="Карточки" sheetId="3" r:id="rId3"/>
    <sheet name="Тексты" sheetId="4" r:id="rId4"/>
    <sheet name="Места" sheetId="5" r:id="rId5"/>
    <sheet name="Картинки" sheetId="6" r:id="rId6"/>
    <sheet name="Источники" sheetId="7" r:id="rId7"/>
    <sheet name="Кандидаты" sheetId="8" r:id="rId8"/>
    <sheet name="Сводка" sheetId="9" r:id="rId9"/>
    <sheet name="Читай меня" sheetId="10" r:id="rId10"/>
    <sheet name="Списки" sheetId="11" r:id="rId11"/>
  </sheets>
  <definedNames>
    <definedName name="_xlnm._FilterDatabase" localSheetId="6" hidden="1">Источники!$A$1:$H$200</definedName>
    <definedName name="_xlnm._FilterDatabase" localSheetId="7" hidden="1">Кандидаты!$A$1:$P$80</definedName>
    <definedName name="_xlnm._FilterDatabase" localSheetId="2" hidden="1">Карточки!$A$1:$W$61</definedName>
    <definedName name="_xlnm._FilterDatabase" localSheetId="4" hidden="1">Места!$A$1:$S$61</definedName>
    <definedName name="_xlnm._FilterDatabase" localSheetId="3" hidden="1">Тексты!$A$1:$U$61</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5" i="9" l="1"/>
  <c r="D23" i="9"/>
  <c r="G18" i="9"/>
  <c r="E18" i="9"/>
  <c r="D18" i="9"/>
  <c r="C18" i="9"/>
  <c r="F18" i="9" s="1"/>
  <c r="G17" i="9"/>
  <c r="E17" i="9"/>
  <c r="D17" i="9"/>
  <c r="C17" i="9"/>
  <c r="F17" i="9" s="1"/>
  <c r="G16" i="9"/>
  <c r="G19" i="9" s="1"/>
  <c r="E16" i="9"/>
  <c r="E19" i="9" s="1"/>
  <c r="D16" i="9"/>
  <c r="D19" i="9" s="1"/>
  <c r="C16" i="9"/>
  <c r="F16" i="9" s="1"/>
  <c r="F19" i="9" s="1"/>
  <c r="E11" i="9"/>
  <c r="D11" i="9"/>
  <c r="G11" i="9" s="1"/>
  <c r="C11" i="9"/>
  <c r="F11" i="9" s="1"/>
  <c r="H11" i="9" s="1"/>
  <c r="E10" i="9"/>
  <c r="D10" i="9"/>
  <c r="G10" i="9" s="1"/>
  <c r="C10" i="9"/>
  <c r="F10" i="9" s="1"/>
  <c r="H10" i="9" s="1"/>
  <c r="E9" i="9"/>
  <c r="D9" i="9"/>
  <c r="G9" i="9" s="1"/>
  <c r="C9" i="9"/>
  <c r="F9" i="9" s="1"/>
  <c r="H9" i="9" s="1"/>
  <c r="G8" i="9"/>
  <c r="E8" i="9"/>
  <c r="D8" i="9"/>
  <c r="C8" i="9"/>
  <c r="F8" i="9" s="1"/>
  <c r="H8" i="9" s="1"/>
  <c r="G7" i="9"/>
  <c r="E7" i="9"/>
  <c r="D7" i="9"/>
  <c r="C7" i="9"/>
  <c r="F7" i="9" s="1"/>
  <c r="H7" i="9" s="1"/>
  <c r="S61" i="4"/>
  <c r="Q61" i="4"/>
  <c r="O61" i="4"/>
  <c r="M61" i="4"/>
  <c r="K61" i="4"/>
  <c r="I61" i="4"/>
  <c r="G61" i="4"/>
  <c r="E61" i="4"/>
  <c r="C61" i="4"/>
  <c r="S60" i="4"/>
  <c r="Q60" i="4"/>
  <c r="O60" i="4"/>
  <c r="M60" i="4"/>
  <c r="K60" i="4"/>
  <c r="I60" i="4"/>
  <c r="G60" i="4"/>
  <c r="E60" i="4"/>
  <c r="C60" i="4"/>
  <c r="S59" i="4"/>
  <c r="Q59" i="4"/>
  <c r="O59" i="4"/>
  <c r="M59" i="4"/>
  <c r="K59" i="4"/>
  <c r="I59" i="4"/>
  <c r="G59" i="4"/>
  <c r="E59" i="4"/>
  <c r="C59" i="4"/>
  <c r="S58" i="4"/>
  <c r="Q58" i="4"/>
  <c r="O58" i="4"/>
  <c r="M58" i="4"/>
  <c r="K58" i="4"/>
  <c r="I58" i="4"/>
  <c r="G58" i="4"/>
  <c r="E58" i="4"/>
  <c r="C58" i="4"/>
  <c r="S57" i="4"/>
  <c r="Q57" i="4"/>
  <c r="O57" i="4"/>
  <c r="M57" i="4"/>
  <c r="K57" i="4"/>
  <c r="I57" i="4"/>
  <c r="G57" i="4"/>
  <c r="E57" i="4"/>
  <c r="C57" i="4"/>
  <c r="S56" i="4"/>
  <c r="Q56" i="4"/>
  <c r="O56" i="4"/>
  <c r="M56" i="4"/>
  <c r="K56" i="4"/>
  <c r="I56" i="4"/>
  <c r="G56" i="4"/>
  <c r="E56" i="4"/>
  <c r="C56" i="4"/>
  <c r="S55" i="4"/>
  <c r="Q55" i="4"/>
  <c r="O55" i="4"/>
  <c r="M55" i="4"/>
  <c r="K55" i="4"/>
  <c r="I55" i="4"/>
  <c r="G55" i="4"/>
  <c r="E55" i="4"/>
  <c r="C55" i="4"/>
  <c r="S54" i="4"/>
  <c r="Q54" i="4"/>
  <c r="O54" i="4"/>
  <c r="M54" i="4"/>
  <c r="K54" i="4"/>
  <c r="I54" i="4"/>
  <c r="G54" i="4"/>
  <c r="E54" i="4"/>
  <c r="C54" i="4"/>
  <c r="S53" i="4"/>
  <c r="Q53" i="4"/>
  <c r="O53" i="4"/>
  <c r="M53" i="4"/>
  <c r="K53" i="4"/>
  <c r="I53" i="4"/>
  <c r="G53" i="4"/>
  <c r="E53" i="4"/>
  <c r="C53" i="4"/>
  <c r="S52" i="4"/>
  <c r="Q52" i="4"/>
  <c r="O52" i="4"/>
  <c r="M52" i="4"/>
  <c r="K52" i="4"/>
  <c r="I52" i="4"/>
  <c r="G52" i="4"/>
  <c r="E52" i="4"/>
  <c r="C52" i="4"/>
  <c r="S51" i="4"/>
  <c r="Q51" i="4"/>
  <c r="O51" i="4"/>
  <c r="M51" i="4"/>
  <c r="K51" i="4"/>
  <c r="I51" i="4"/>
  <c r="G51" i="4"/>
  <c r="E51" i="4"/>
  <c r="C51" i="4"/>
  <c r="S50" i="4"/>
  <c r="Q50" i="4"/>
  <c r="O50" i="4"/>
  <c r="M50" i="4"/>
  <c r="K50" i="4"/>
  <c r="I50" i="4"/>
  <c r="G50" i="4"/>
  <c r="E50" i="4"/>
  <c r="C50" i="4"/>
  <c r="S49" i="4"/>
  <c r="Q49" i="4"/>
  <c r="O49" i="4"/>
  <c r="M49" i="4"/>
  <c r="K49" i="4"/>
  <c r="I49" i="4"/>
  <c r="G49" i="4"/>
  <c r="E49" i="4"/>
  <c r="C49" i="4"/>
  <c r="S48" i="4"/>
  <c r="Q48" i="4"/>
  <c r="O48" i="4"/>
  <c r="M48" i="4"/>
  <c r="K48" i="4"/>
  <c r="I48" i="4"/>
  <c r="G48" i="4"/>
  <c r="E48" i="4"/>
  <c r="C48" i="4"/>
  <c r="S47" i="4"/>
  <c r="Q47" i="4"/>
  <c r="O47" i="4"/>
  <c r="M47" i="4"/>
  <c r="K47" i="4"/>
  <c r="I47" i="4"/>
  <c r="G47" i="4"/>
  <c r="E47" i="4"/>
  <c r="C47" i="4"/>
  <c r="S46" i="4"/>
  <c r="Q46" i="4"/>
  <c r="O46" i="4"/>
  <c r="M46" i="4"/>
  <c r="K46" i="4"/>
  <c r="I46" i="4"/>
  <c r="G46" i="4"/>
  <c r="E46" i="4"/>
  <c r="C46" i="4"/>
  <c r="S45" i="4"/>
  <c r="Q45" i="4"/>
  <c r="O45" i="4"/>
  <c r="M45" i="4"/>
  <c r="K45" i="4"/>
  <c r="I45" i="4"/>
  <c r="G45" i="4"/>
  <c r="E45" i="4"/>
  <c r="C45" i="4"/>
  <c r="S44" i="4"/>
  <c r="Q44" i="4"/>
  <c r="O44" i="4"/>
  <c r="M44" i="4"/>
  <c r="K44" i="4"/>
  <c r="I44" i="4"/>
  <c r="G44" i="4"/>
  <c r="E44" i="4"/>
  <c r="C44" i="4"/>
  <c r="S43" i="4"/>
  <c r="Q43" i="4"/>
  <c r="O43" i="4"/>
  <c r="M43" i="4"/>
  <c r="K43" i="4"/>
  <c r="I43" i="4"/>
  <c r="G43" i="4"/>
  <c r="E43" i="4"/>
  <c r="C43" i="4"/>
  <c r="S42" i="4"/>
  <c r="Q42" i="4"/>
  <c r="O42" i="4"/>
  <c r="M42" i="4"/>
  <c r="K42" i="4"/>
  <c r="I42" i="4"/>
  <c r="G42" i="4"/>
  <c r="E42" i="4"/>
  <c r="C42" i="4"/>
  <c r="S41" i="4"/>
  <c r="Q41" i="4"/>
  <c r="O41" i="4"/>
  <c r="M41" i="4"/>
  <c r="K41" i="4"/>
  <c r="I41" i="4"/>
  <c r="G41" i="4"/>
  <c r="E41" i="4"/>
  <c r="C41" i="4"/>
  <c r="S40" i="4"/>
  <c r="Q40" i="4"/>
  <c r="O40" i="4"/>
  <c r="M40" i="4"/>
  <c r="K40" i="4"/>
  <c r="I40" i="4"/>
  <c r="G40" i="4"/>
  <c r="E40" i="4"/>
  <c r="C40" i="4"/>
  <c r="S39" i="4"/>
  <c r="Q39" i="4"/>
  <c r="O39" i="4"/>
  <c r="M39" i="4"/>
  <c r="K39" i="4"/>
  <c r="I39" i="4"/>
  <c r="G39" i="4"/>
  <c r="E39" i="4"/>
  <c r="C39" i="4"/>
  <c r="S38" i="4"/>
  <c r="Q38" i="4"/>
  <c r="O38" i="4"/>
  <c r="M38" i="4"/>
  <c r="K38" i="4"/>
  <c r="I38" i="4"/>
  <c r="G38" i="4"/>
  <c r="E38" i="4"/>
  <c r="C38" i="4"/>
  <c r="S37" i="4"/>
  <c r="Q37" i="4"/>
  <c r="O37" i="4"/>
  <c r="M37" i="4"/>
  <c r="K37" i="4"/>
  <c r="I37" i="4"/>
  <c r="G37" i="4"/>
  <c r="E37" i="4"/>
  <c r="C37" i="4"/>
  <c r="S36" i="4"/>
  <c r="Q36" i="4"/>
  <c r="O36" i="4"/>
  <c r="M36" i="4"/>
  <c r="K36" i="4"/>
  <c r="I36" i="4"/>
  <c r="G36" i="4"/>
  <c r="E36" i="4"/>
  <c r="C36" i="4"/>
  <c r="S35" i="4"/>
  <c r="Q35" i="4"/>
  <c r="O35" i="4"/>
  <c r="M35" i="4"/>
  <c r="K35" i="4"/>
  <c r="I35" i="4"/>
  <c r="G35" i="4"/>
  <c r="E35" i="4"/>
  <c r="C35" i="4"/>
  <c r="S34" i="4"/>
  <c r="Q34" i="4"/>
  <c r="O34" i="4"/>
  <c r="M34" i="4"/>
  <c r="K34" i="4"/>
  <c r="I34" i="4"/>
  <c r="G34" i="4"/>
  <c r="E34" i="4"/>
  <c r="C34" i="4"/>
  <c r="S33" i="4"/>
  <c r="Q33" i="4"/>
  <c r="O33" i="4"/>
  <c r="M33" i="4"/>
  <c r="K33" i="4"/>
  <c r="I33" i="4"/>
  <c r="G33" i="4"/>
  <c r="E33" i="4"/>
  <c r="C33" i="4"/>
  <c r="S32" i="4"/>
  <c r="Q32" i="4"/>
  <c r="O32" i="4"/>
  <c r="M32" i="4"/>
  <c r="K32" i="4"/>
  <c r="I32" i="4"/>
  <c r="G32" i="4"/>
  <c r="E32" i="4"/>
  <c r="C32" i="4"/>
  <c r="S31" i="4"/>
  <c r="Q31" i="4"/>
  <c r="O31" i="4"/>
  <c r="M31" i="4"/>
  <c r="K31" i="4"/>
  <c r="I31" i="4"/>
  <c r="G31" i="4"/>
  <c r="E31" i="4"/>
  <c r="C31" i="4"/>
  <c r="S30" i="4"/>
  <c r="Q30" i="4"/>
  <c r="O30" i="4"/>
  <c r="M30" i="4"/>
  <c r="K30" i="4"/>
  <c r="I30" i="4"/>
  <c r="G30" i="4"/>
  <c r="E30" i="4"/>
  <c r="C30" i="4"/>
  <c r="S29" i="4"/>
  <c r="Q29" i="4"/>
  <c r="O29" i="4"/>
  <c r="M29" i="4"/>
  <c r="K29" i="4"/>
  <c r="I29" i="4"/>
  <c r="G29" i="4"/>
  <c r="E29" i="4"/>
  <c r="C29" i="4"/>
  <c r="S28" i="4"/>
  <c r="Q28" i="4"/>
  <c r="O28" i="4"/>
  <c r="M28" i="4"/>
  <c r="K28" i="4"/>
  <c r="I28" i="4"/>
  <c r="G28" i="4"/>
  <c r="E28" i="4"/>
  <c r="C28" i="4"/>
  <c r="S27" i="4"/>
  <c r="Q27" i="4"/>
  <c r="O27" i="4"/>
  <c r="M27" i="4"/>
  <c r="K27" i="4"/>
  <c r="I27" i="4"/>
  <c r="G27" i="4"/>
  <c r="E27" i="4"/>
  <c r="C27" i="4"/>
  <c r="S26" i="4"/>
  <c r="Q26" i="4"/>
  <c r="O26" i="4"/>
  <c r="M26" i="4"/>
  <c r="K26" i="4"/>
  <c r="I26" i="4"/>
  <c r="G26" i="4"/>
  <c r="E26" i="4"/>
  <c r="C26" i="4"/>
  <c r="S25" i="4"/>
  <c r="Q25" i="4"/>
  <c r="O25" i="4"/>
  <c r="M25" i="4"/>
  <c r="K25" i="4"/>
  <c r="I25" i="4"/>
  <c r="G25" i="4"/>
  <c r="E25" i="4"/>
  <c r="C25" i="4"/>
  <c r="S24" i="4"/>
  <c r="Q24" i="4"/>
  <c r="O24" i="4"/>
  <c r="M24" i="4"/>
  <c r="K24" i="4"/>
  <c r="I24" i="4"/>
  <c r="G24" i="4"/>
  <c r="E24" i="4"/>
  <c r="C24" i="4"/>
  <c r="S23" i="4"/>
  <c r="Q23" i="4"/>
  <c r="O23" i="4"/>
  <c r="M23" i="4"/>
  <c r="K23" i="4"/>
  <c r="I23" i="4"/>
  <c r="G23" i="4"/>
  <c r="E23" i="4"/>
  <c r="C23" i="4"/>
  <c r="S22" i="4"/>
  <c r="Q22" i="4"/>
  <c r="O22" i="4"/>
  <c r="M22" i="4"/>
  <c r="K22" i="4"/>
  <c r="I22" i="4"/>
  <c r="G22" i="4"/>
  <c r="E22" i="4"/>
  <c r="C22" i="4"/>
  <c r="S21" i="4"/>
  <c r="Q21" i="4"/>
  <c r="O21" i="4"/>
  <c r="M21" i="4"/>
  <c r="K21" i="4"/>
  <c r="I21" i="4"/>
  <c r="G21" i="4"/>
  <c r="E21" i="4"/>
  <c r="C21" i="4"/>
  <c r="S20" i="4"/>
  <c r="Q20" i="4"/>
  <c r="O20" i="4"/>
  <c r="M20" i="4"/>
  <c r="K20" i="4"/>
  <c r="I20" i="4"/>
  <c r="G20" i="4"/>
  <c r="E20" i="4"/>
  <c r="C20" i="4"/>
  <c r="S19" i="4"/>
  <c r="Q19" i="4"/>
  <c r="O19" i="4"/>
  <c r="M19" i="4"/>
  <c r="K19" i="4"/>
  <c r="I19" i="4"/>
  <c r="G19" i="4"/>
  <c r="E19" i="4"/>
  <c r="C19" i="4"/>
  <c r="S18" i="4"/>
  <c r="Q18" i="4"/>
  <c r="O18" i="4"/>
  <c r="M18" i="4"/>
  <c r="K18" i="4"/>
  <c r="I18" i="4"/>
  <c r="G18" i="4"/>
  <c r="E18" i="4"/>
  <c r="C18" i="4"/>
  <c r="S17" i="4"/>
  <c r="Q17" i="4"/>
  <c r="O17" i="4"/>
  <c r="M17" i="4"/>
  <c r="K17" i="4"/>
  <c r="I17" i="4"/>
  <c r="G17" i="4"/>
  <c r="E17" i="4"/>
  <c r="C17" i="4"/>
  <c r="S16" i="4"/>
  <c r="Q16" i="4"/>
  <c r="O16" i="4"/>
  <c r="M16" i="4"/>
  <c r="K16" i="4"/>
  <c r="I16" i="4"/>
  <c r="G16" i="4"/>
  <c r="E16" i="4"/>
  <c r="C16" i="4"/>
  <c r="S15" i="4"/>
  <c r="Q15" i="4"/>
  <c r="O15" i="4"/>
  <c r="M15" i="4"/>
  <c r="K15" i="4"/>
  <c r="I15" i="4"/>
  <c r="G15" i="4"/>
  <c r="E15" i="4"/>
  <c r="C15" i="4"/>
  <c r="S14" i="4"/>
  <c r="Q14" i="4"/>
  <c r="O14" i="4"/>
  <c r="M14" i="4"/>
  <c r="K14" i="4"/>
  <c r="I14" i="4"/>
  <c r="G14" i="4"/>
  <c r="E14" i="4"/>
  <c r="C14" i="4"/>
  <c r="S13" i="4"/>
  <c r="Q13" i="4"/>
  <c r="O13" i="4"/>
  <c r="M13" i="4"/>
  <c r="K13" i="4"/>
  <c r="I13" i="4"/>
  <c r="G13" i="4"/>
  <c r="E13" i="4"/>
  <c r="C13" i="4"/>
  <c r="S12" i="4"/>
  <c r="Q12" i="4"/>
  <c r="O12" i="4"/>
  <c r="M12" i="4"/>
  <c r="K12" i="4"/>
  <c r="I12" i="4"/>
  <c r="G12" i="4"/>
  <c r="E12" i="4"/>
  <c r="C12" i="4"/>
  <c r="S11" i="4"/>
  <c r="Q11" i="4"/>
  <c r="O11" i="4"/>
  <c r="M11" i="4"/>
  <c r="K11" i="4"/>
  <c r="I11" i="4"/>
  <c r="G11" i="4"/>
  <c r="E11" i="4"/>
  <c r="C11" i="4"/>
  <c r="S10" i="4"/>
  <c r="Q10" i="4"/>
  <c r="O10" i="4"/>
  <c r="M10" i="4"/>
  <c r="K10" i="4"/>
  <c r="I10" i="4"/>
  <c r="G10" i="4"/>
  <c r="E10" i="4"/>
  <c r="C10" i="4"/>
  <c r="S9" i="4"/>
  <c r="Q9" i="4"/>
  <c r="O9" i="4"/>
  <c r="M9" i="4"/>
  <c r="K9" i="4"/>
  <c r="I9" i="4"/>
  <c r="G9" i="4"/>
  <c r="E9" i="4"/>
  <c r="C9" i="4"/>
  <c r="S8" i="4"/>
  <c r="Q8" i="4"/>
  <c r="O8" i="4"/>
  <c r="M8" i="4"/>
  <c r="K8" i="4"/>
  <c r="I8" i="4"/>
  <c r="G8" i="4"/>
  <c r="E8" i="4"/>
  <c r="C8" i="4"/>
  <c r="S7" i="4"/>
  <c r="Q7" i="4"/>
  <c r="O7" i="4"/>
  <c r="M7" i="4"/>
  <c r="K7" i="4"/>
  <c r="I7" i="4"/>
  <c r="G7" i="4"/>
  <c r="E7" i="4"/>
  <c r="C7" i="4"/>
  <c r="S6" i="4"/>
  <c r="Q6" i="4"/>
  <c r="O6" i="4"/>
  <c r="M6" i="4"/>
  <c r="K6" i="4"/>
  <c r="I6" i="4"/>
  <c r="G6" i="4"/>
  <c r="E6" i="4"/>
  <c r="C6" i="4"/>
  <c r="S5" i="4"/>
  <c r="Q5" i="4"/>
  <c r="O5" i="4"/>
  <c r="M5" i="4"/>
  <c r="K5" i="4"/>
  <c r="I5" i="4"/>
  <c r="G5" i="4"/>
  <c r="E5" i="4"/>
  <c r="C5" i="4"/>
  <c r="S4" i="4"/>
  <c r="Q4" i="4"/>
  <c r="O4" i="4"/>
  <c r="M4" i="4"/>
  <c r="K4" i="4"/>
  <c r="I4" i="4"/>
  <c r="G4" i="4"/>
  <c r="E4" i="4"/>
  <c r="C4" i="4"/>
  <c r="S3" i="4"/>
  <c r="Q3" i="4"/>
  <c r="O3" i="4"/>
  <c r="M3" i="4"/>
  <c r="K3" i="4"/>
  <c r="I3" i="4"/>
  <c r="G3" i="4"/>
  <c r="E3" i="4"/>
  <c r="C3" i="4"/>
  <c r="S2" i="4"/>
  <c r="Q2" i="4"/>
  <c r="O2" i="4"/>
  <c r="M2" i="4"/>
  <c r="K2" i="4"/>
  <c r="I2" i="4"/>
  <c r="G2" i="4"/>
  <c r="E2" i="4"/>
  <c r="C2" i="4"/>
  <c r="W61" i="3"/>
  <c r="V61" i="3"/>
  <c r="U61" i="3"/>
  <c r="N61" i="3"/>
  <c r="M61" i="3"/>
  <c r="W60" i="3"/>
  <c r="V60" i="3"/>
  <c r="U60" i="3"/>
  <c r="N60" i="3"/>
  <c r="M60" i="3"/>
  <c r="W59" i="3"/>
  <c r="V59" i="3"/>
  <c r="U59" i="3"/>
  <c r="N59" i="3"/>
  <c r="M59" i="3"/>
  <c r="W58" i="3"/>
  <c r="V58" i="3"/>
  <c r="U58" i="3"/>
  <c r="N58" i="3"/>
  <c r="M58" i="3"/>
  <c r="W57" i="3"/>
  <c r="V57" i="3"/>
  <c r="U57" i="3"/>
  <c r="N57" i="3"/>
  <c r="M57" i="3"/>
  <c r="W56" i="3"/>
  <c r="V56" i="3"/>
  <c r="U56" i="3"/>
  <c r="N56" i="3"/>
  <c r="M56" i="3"/>
  <c r="W55" i="3"/>
  <c r="V55" i="3"/>
  <c r="U55" i="3"/>
  <c r="N55" i="3"/>
  <c r="M55" i="3"/>
  <c r="W54" i="3"/>
  <c r="V54" i="3"/>
  <c r="U54" i="3"/>
  <c r="N54" i="3"/>
  <c r="M54" i="3"/>
  <c r="W53" i="3"/>
  <c r="V53" i="3"/>
  <c r="U53" i="3"/>
  <c r="N53" i="3"/>
  <c r="M53" i="3"/>
  <c r="W52" i="3"/>
  <c r="V52" i="3"/>
  <c r="U52" i="3"/>
  <c r="N52" i="3"/>
  <c r="M52" i="3"/>
  <c r="W51" i="3"/>
  <c r="V51" i="3"/>
  <c r="U51" i="3"/>
  <c r="N51" i="3"/>
  <c r="M51" i="3"/>
  <c r="W50" i="3"/>
  <c r="V50" i="3"/>
  <c r="U50" i="3"/>
  <c r="N50" i="3"/>
  <c r="M50" i="3"/>
  <c r="W49" i="3"/>
  <c r="V49" i="3"/>
  <c r="U49" i="3"/>
  <c r="N49" i="3"/>
  <c r="M49" i="3"/>
  <c r="W48" i="3"/>
  <c r="V48" i="3"/>
  <c r="U48" i="3"/>
  <c r="N48" i="3"/>
  <c r="M48" i="3"/>
  <c r="W47" i="3"/>
  <c r="V47" i="3"/>
  <c r="U47" i="3"/>
  <c r="N47" i="3"/>
  <c r="M47" i="3"/>
  <c r="W46" i="3"/>
  <c r="V46" i="3"/>
  <c r="U46" i="3"/>
  <c r="N46" i="3"/>
  <c r="M46" i="3"/>
  <c r="W45" i="3"/>
  <c r="V45" i="3"/>
  <c r="U45" i="3"/>
  <c r="N45" i="3"/>
  <c r="M45" i="3"/>
  <c r="W44" i="3"/>
  <c r="V44" i="3"/>
  <c r="U44" i="3"/>
  <c r="N44" i="3"/>
  <c r="M44" i="3"/>
  <c r="W43" i="3"/>
  <c r="V43" i="3"/>
  <c r="U43" i="3"/>
  <c r="N43" i="3"/>
  <c r="M43" i="3"/>
  <c r="W42" i="3"/>
  <c r="V42" i="3"/>
  <c r="U42" i="3"/>
  <c r="N42" i="3"/>
  <c r="M42" i="3"/>
  <c r="W41" i="3"/>
  <c r="V41" i="3"/>
  <c r="U41" i="3"/>
  <c r="N41" i="3"/>
  <c r="M41" i="3"/>
  <c r="W40" i="3"/>
  <c r="V40" i="3"/>
  <c r="U40" i="3"/>
  <c r="N40" i="3"/>
  <c r="M40" i="3"/>
  <c r="W39" i="3"/>
  <c r="V39" i="3"/>
  <c r="U39" i="3"/>
  <c r="N39" i="3"/>
  <c r="M39" i="3"/>
  <c r="W38" i="3"/>
  <c r="V38" i="3"/>
  <c r="U38" i="3"/>
  <c r="N38" i="3"/>
  <c r="M38" i="3"/>
  <c r="W37" i="3"/>
  <c r="V37" i="3"/>
  <c r="U37" i="3"/>
  <c r="N37" i="3"/>
  <c r="M37" i="3"/>
  <c r="W36" i="3"/>
  <c r="V36" i="3"/>
  <c r="U36" i="3"/>
  <c r="N36" i="3"/>
  <c r="M36" i="3"/>
  <c r="W35" i="3"/>
  <c r="V35" i="3"/>
  <c r="U35" i="3"/>
  <c r="N35" i="3"/>
  <c r="M35" i="3"/>
  <c r="W34" i="3"/>
  <c r="V34" i="3"/>
  <c r="U34" i="3"/>
  <c r="N34" i="3"/>
  <c r="M34" i="3"/>
  <c r="W33" i="3"/>
  <c r="V33" i="3"/>
  <c r="U33" i="3"/>
  <c r="N33" i="3"/>
  <c r="M33" i="3"/>
  <c r="W32" i="3"/>
  <c r="V32" i="3"/>
  <c r="U32" i="3"/>
  <c r="N32" i="3"/>
  <c r="M32" i="3"/>
  <c r="W31" i="3"/>
  <c r="V31" i="3"/>
  <c r="U31" i="3"/>
  <c r="N31" i="3"/>
  <c r="M31" i="3"/>
  <c r="W30" i="3"/>
  <c r="V30" i="3"/>
  <c r="U30" i="3"/>
  <c r="N30" i="3"/>
  <c r="M30" i="3"/>
  <c r="W29" i="3"/>
  <c r="V29" i="3"/>
  <c r="U29" i="3"/>
  <c r="N29" i="3"/>
  <c r="M29" i="3"/>
  <c r="W28" i="3"/>
  <c r="V28" i="3"/>
  <c r="U28" i="3"/>
  <c r="N28" i="3"/>
  <c r="M28" i="3"/>
  <c r="W27" i="3"/>
  <c r="V27" i="3"/>
  <c r="U27" i="3"/>
  <c r="N27" i="3"/>
  <c r="M27" i="3"/>
  <c r="W26" i="3"/>
  <c r="V26" i="3"/>
  <c r="U26" i="3"/>
  <c r="N26" i="3"/>
  <c r="M26" i="3"/>
  <c r="W25" i="3"/>
  <c r="V25" i="3"/>
  <c r="U25" i="3"/>
  <c r="N25" i="3"/>
  <c r="M25" i="3"/>
  <c r="W24" i="3"/>
  <c r="V24" i="3"/>
  <c r="U24" i="3"/>
  <c r="N24" i="3"/>
  <c r="M24" i="3"/>
  <c r="W23" i="3"/>
  <c r="V23" i="3"/>
  <c r="U23" i="3"/>
  <c r="N23" i="3"/>
  <c r="M23" i="3"/>
  <c r="W22" i="3"/>
  <c r="V22" i="3"/>
  <c r="U22" i="3"/>
  <c r="N22" i="3"/>
  <c r="M22" i="3"/>
  <c r="W21" i="3"/>
  <c r="V21" i="3"/>
  <c r="U21" i="3"/>
  <c r="N21" i="3"/>
  <c r="M21" i="3"/>
  <c r="W20" i="3"/>
  <c r="V20" i="3"/>
  <c r="U20" i="3"/>
  <c r="N20" i="3"/>
  <c r="M20" i="3"/>
  <c r="W19" i="3"/>
  <c r="V19" i="3"/>
  <c r="U19" i="3"/>
  <c r="N19" i="3"/>
  <c r="M19" i="3"/>
  <c r="W18" i="3"/>
  <c r="V18" i="3"/>
  <c r="U18" i="3"/>
  <c r="N18" i="3"/>
  <c r="M18" i="3"/>
  <c r="W17" i="3"/>
  <c r="V17" i="3"/>
  <c r="U17" i="3"/>
  <c r="N17" i="3"/>
  <c r="M17" i="3"/>
  <c r="W16" i="3"/>
  <c r="V16" i="3"/>
  <c r="U16" i="3"/>
  <c r="N16" i="3"/>
  <c r="M16" i="3"/>
  <c r="W15" i="3"/>
  <c r="V15" i="3"/>
  <c r="U15" i="3"/>
  <c r="N15" i="3"/>
  <c r="M15" i="3"/>
  <c r="V14" i="3"/>
  <c r="U14" i="3"/>
  <c r="W14" i="3" s="1"/>
  <c r="N14" i="3" s="1"/>
  <c r="M14" i="3"/>
  <c r="V13" i="3"/>
  <c r="U13" i="3"/>
  <c r="W13" i="3" s="1"/>
  <c r="N13" i="3" s="1"/>
  <c r="M13" i="3"/>
  <c r="V12" i="3"/>
  <c r="U12" i="3"/>
  <c r="M12" i="3"/>
  <c r="W12" i="3" s="1"/>
  <c r="N12" i="3" s="1"/>
  <c r="V11" i="3"/>
  <c r="U11" i="3"/>
  <c r="W11" i="3" s="1"/>
  <c r="N11" i="3" s="1"/>
  <c r="M11" i="3"/>
  <c r="V10" i="3"/>
  <c r="U10" i="3"/>
  <c r="W10" i="3" s="1"/>
  <c r="N10" i="3" s="1"/>
  <c r="M10" i="3"/>
  <c r="V9" i="3"/>
  <c r="U9" i="3"/>
  <c r="W9" i="3" s="1"/>
  <c r="N9" i="3" s="1"/>
  <c r="M9" i="3"/>
  <c r="V8" i="3"/>
  <c r="U8" i="3"/>
  <c r="M8" i="3"/>
  <c r="W8" i="3" s="1"/>
  <c r="N8" i="3" s="1"/>
  <c r="V7" i="3"/>
  <c r="U7" i="3"/>
  <c r="M7" i="3"/>
  <c r="W7" i="3" s="1"/>
  <c r="N7" i="3" s="1"/>
  <c r="V6" i="3"/>
  <c r="U6" i="3"/>
  <c r="M6" i="3"/>
  <c r="W6" i="3" s="1"/>
  <c r="N6" i="3" s="1"/>
  <c r="V5" i="3"/>
  <c r="U5" i="3"/>
  <c r="M5" i="3"/>
  <c r="W5" i="3" s="1"/>
  <c r="N5" i="3" s="1"/>
  <c r="V4" i="3"/>
  <c r="U4" i="3"/>
  <c r="M4" i="3"/>
  <c r="W4" i="3" s="1"/>
  <c r="N4" i="3" s="1"/>
  <c r="V3" i="3"/>
  <c r="U3" i="3"/>
  <c r="M3" i="3"/>
  <c r="W3" i="3" s="1"/>
  <c r="N3" i="3" s="1"/>
  <c r="V2" i="3"/>
  <c r="U2" i="3"/>
  <c r="M2" i="3"/>
  <c r="W2" i="3" s="1"/>
  <c r="N2" i="3" s="1"/>
  <c r="D24" i="9" l="1"/>
  <c r="C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Идентификатор карточки. Не меняйте после публикации. Он же имя файла YAML.</t>
        </r>
      </text>
    </comment>
    <comment ref="M1" authorId="0" shapeId="0" xr:uid="{00000000-0006-0000-0200-000002000000}">
      <text>
        <r>
          <rPr>
            <sz val="10"/>
            <rFont val="Arial"/>
            <family val="2"/>
          </rPr>
          <t>Считаются строки листа «Источники» со статусом «нашли». Каркас: минимум 2, история: минимум 1 (spec §7).</t>
        </r>
      </text>
    </comment>
    <comment ref="N1" authorId="0" shapeId="0" xr:uid="{00000000-0006-0000-0200-000003000000}">
      <text>
        <r>
          <rPr>
            <sz val="10"/>
            <rFont val="Arial"/>
            <family val="2"/>
          </rPr>
          <t>Автопроверка по правилам spec §7: длины текстов, источники, поля. «OK» значит замечаний нет.</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 authorId="0" shapeId="0" xr:uid="{00000000-0006-0000-0300-000001000000}">
      <text>
        <r>
          <rPr>
            <sz val="10"/>
            <rFont val="Arial"/>
            <family val="2"/>
          </rPr>
          <t>Простой счёт по пробелам. Сборка сайта может считать чуть иначе (дефисы, цифры): ориентир, не истина.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1" authorId="0" shapeId="0" xr:uid="{00000000-0006-0000-0400-000001000000}">
      <text>
        <r>
          <rPr>
            <sz val="10"/>
            <rFont val="Arial"/>
            <family val="2"/>
          </rPr>
          <t>0.0 или пусто значит «не заполнено». Координаты в десятичных градусах (Лиссабон: lat ≈ 38.7, lon ≈ −9.1).</t>
        </r>
      </text>
    </comment>
    <comment ref="O1" authorId="0" shapeId="0" xr:uid="{00000000-0006-0000-0400-000002000000}">
      <text>
        <r>
          <rPr>
            <sz val="10"/>
            <rFont val="Arial"/>
            <family val="2"/>
          </rPr>
          <t>Официальный сайт объекта. «TODO» значит ещё не найден.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600-000001000000}">
      <text>
        <r>
          <rPr>
            <sz val="10"/>
            <rFont val="Arial"/>
            <family val="2"/>
          </rPr>
          <t>Значения primary / academic / institutional / press / reference придуманы мной: в spec §7 перечня нет. Добавьте их в схему Zod или замените.</t>
        </r>
      </text>
    </comment>
    <comment ref="G1" authorId="0" shapeId="0" xr:uid="{00000000-0006-0000-0600-000002000000}">
      <text>
        <r>
          <rPr>
            <sz val="10"/>
            <rFont val="Arial"/>
            <family val="2"/>
          </rPr>
          <t>«нашли» значит источник прочитан и записан; такие строки идут в YAML и в счётчик. «искать» значит план поиска.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700-000001000000}">
      <text>
        <r>
          <rPr>
            <sz val="10"/>
            <rFont val="Arial"/>
            <family val="2"/>
          </rPr>
          <t>Вводится вручную: в эпохе 8 по design в MVP только 25 апреля, поэтому по номеру эпохи это не вычислить.</t>
        </r>
      </text>
    </comment>
    <comment ref="O1" authorId="0" shapeId="0" xr:uid="{00000000-0006-0000-0700-000002000000}">
      <text>
        <r>
          <rPr>
            <sz val="10"/>
            <rFont val="Arial"/>
            <family val="2"/>
          </rPr>
          <t>Приложение А: список из design-документа. «гипотеза»: добавлено мной, не из документа.</t>
        </r>
      </text>
    </comment>
  </commentList>
</comments>
</file>

<file path=xl/sharedStrings.xml><?xml version="1.0" encoding="utf-8"?>
<sst xmlns="http://schemas.openxmlformats.org/spreadsheetml/2006/main" count="2403" uniqueCount="1287">
  <si>
    <t>Старт: что делать по шагам</t>
  </si>
  <si>
    <t>Идите сверху вниз. В таблице 13 карточек, но для первого показа нужны 9 (лист «К Reddit», колонка «В наборе»). Остальные 4 лежат в конце таблицы и ждут.</t>
  </si>
  <si>
    <t>Шаг</t>
  </si>
  <si>
    <t>Что сделать</t>
  </si>
  <si>
    <t>Где в таблице</t>
  </si>
  <si>
    <t>Кто</t>
  </si>
  <si>
    <t>Усилие</t>
  </si>
  <si>
    <t>Статус</t>
  </si>
  <si>
    <t>Второй круг чтения: прочитать все 13 карточек по-русски (cards-ru.md): там теперь отмечено, что я исправил по вашим замечаниям. Новые правки пишите под «Мои правки».</t>
  </si>
  <si>
    <t>Файл cards-ru.md. Правки: лист «Тексты», колонка U.</t>
  </si>
  <si>
    <t>вы</t>
  </si>
  <si>
    <t>среднее</t>
  </si>
  <si>
    <t>нет</t>
  </si>
  <si>
    <t>Ответить на 10 вопросов-решений (ниже). Одним словом на каждый.</t>
  </si>
  <si>
    <t>Этот лист, ниже.</t>
  </si>
  <si>
    <t>малое</t>
  </si>
  <si>
    <t>Картинки. A) Запустить fetch_images.py: Кантино, носорог, землетрясение. B) Прислать мне файлы, я соберу превью. C) Для Casa da Neve, Torres Vedras и Douro решить: своё фото или шаблон. Tripeiros и апельсины готовы.</t>
  </si>
  <si>
    <t>Лист «Картинки», «К Reddit» (колонка «Картинка»).</t>
  </si>
  <si>
    <t>вы, затем я</t>
  </si>
  <si>
    <t>Мосты. Открыть в Google Maps 8 мест и скопировать адрес и координаты в лист «Места» (колонки K–P), в P поставить «да»: Museu de Marinha, Torre de Belém, памятник Tripeiros, Café Martinho da Arcada, 17•56 в Гае, памятник Албукерки в Белеме, форт São Vicente, CIBA.</t>
  </si>
  <si>
    <t>Лист «Места». K название, L адрес, M и N координаты, O сайт, P проверено.</t>
  </si>
  <si>
    <t>Проверить факты с пометкой ⚠ по очереди карточек. Источники смотреть по фильтру id.</t>
  </si>
  <si>
    <t>«К Reddit», колонка «Факты». Ссылки: лист «Источники».</t>
  </si>
  <si>
    <t>вы, я помогаю</t>
  </si>
  <si>
    <t>большое</t>
  </si>
  <si>
    <t>Португальский. Отправить хуки и истории 3–5 носителям. Файл для отправки я подготовлю по запросу.</t>
  </si>
  <si>
    <t>Лист «Тексты», колонки D, H, L.</t>
  </si>
  <si>
    <t>Прочитать условия использования картинок Gemini и правила выбранного сабреддита.</t>
  </si>
  <si>
    <t>—</t>
  </si>
  <si>
    <t>Поручить мне черновик поста (название, текст, раскрытие про ИИ, вопрос аудитории) и страницу для показа.</t>
  </si>
  <si>
    <t>я</t>
  </si>
  <si>
    <t>Решения владельца</t>
  </si>
  <si>
    <t>№</t>
  </si>
  <si>
    <t>Вопрос</t>
  </si>
  <si>
    <t>Мой вариант по умолчанию</t>
  </si>
  <si>
    <t>Ваш ответ</t>
  </si>
  <si>
    <t>Метка носорога: documented (бой описан как факт) или legend (как в вашем design)?</t>
  </si>
  <si>
    <t>documented</t>
  </si>
  <si>
    <t>Алжубарроту: новый хук «25-летний коннетабль ушёл с совета и сам выбрал поле боя». Подходит?</t>
  </si>
  <si>
    <t>подходит</t>
  </si>
  <si>
    <t>Алжубарроту: «тяжёлая тема» нет или да? (в тексте нет крови)</t>
  </si>
  <si>
    <t>Вторая нить «Люди как мы» у Алжубарроту и Tripeiros: оставить?</t>
  </si>
  <si>
    <t>оставить</t>
  </si>
  <si>
    <t>Голос проекта в «Подробнее»: «мы не нашли» или нейтрально?</t>
  </si>
  <si>
    <t>нейтрально</t>
  </si>
  <si>
    <t>Апельсиновая война: выбрать мост (форт в Элваше) или оставить карточку без моста?</t>
  </si>
  <si>
    <t>без моста пока</t>
  </si>
  <si>
    <t>Casa da Neve, Torres Vedras, Douro: своё фото или шаблон превью?</t>
  </si>
  <si>
    <t>шаблон превью</t>
  </si>
  <si>
    <t>Подпись ИИ-иллюстраций: «Иллюстрация, созданная ИИ по преданию, не историческое изображение». Подходит?</t>
  </si>
  <si>
    <t>Новые лимиты: история 40–90 слов, «Подробнее» до 250 (было 70 и 150). Принять? Тогда поправлю spec §7 и Zod.</t>
  </si>
  <si>
    <t>принять</t>
  </si>
  <si>
    <t>Motim разделён на две карточки: основание Дору (douro-1756) и бунт. Оставляем?</t>
  </si>
  <si>
    <t>К публикации на Reddit: что проверить и поправить</t>
  </si>
  <si>
    <t>Набор из 9 лёгких карточек. Тяжёлые темы и карточки без моста придержаны. Колонка «Статус»: пометьте, когда сделано.</t>
  </si>
  <si>
    <t>Карточка</t>
  </si>
  <si>
    <t>В наборе</t>
  </si>
  <si>
    <t>Картинка</t>
  </si>
  <si>
    <t>Мост</t>
  </si>
  <si>
    <t>Факты и источники</t>
  </si>
  <si>
    <t>Язык и тон</t>
  </si>
  <si>
    <t>cantino-1502</t>
  </si>
  <si>
    <t>да</t>
  </si>
  <si>
    <t>Скачать «Cantino planisphere (1502).jpg» (fetch_images.py), проверить кадр превью. PD (Commons).</t>
  </si>
  <si>
    <t>Museu de Marinha: адрес, координаты, выставлена ли копия, часы.</t>
  </si>
  <si>
    <t>Как карта попала к Кантино (подкуп, покупка?). Письма Кантино не читаны. Цепочка Caverio → Waldseemüller по McIntosh и BnF; «дала имя Америке» общеизвестный факт, в найденных источниках явно не прочитан. Год находки в лавке.</t>
  </si>
  <si>
    <t>Вычитать PT, EN, RU. «Génova» и «talho» проверить носителем.</t>
  </si>
  <si>
    <t>rinoceronte-1515</t>
  </si>
  <si>
    <t>Гравюра Дюрера: Cleveland Open Access или Commons (fetch_images.py).</t>
  </si>
  <si>
    <t>Torre de Belém: полный адрес, официальный сайт, координаты.</t>
  </si>
  <si>
    <t>Судьба тела: версии расходятся (чучело папе или шкура сначала в Лиссабон); следов чучела не нашли. Метка documented: решение. Слон Ханно, 1514.</t>
  </si>
  <si>
    <t>Вычитать PT. «Подробнее» теперь 4 абзаца.</t>
  </si>
  <si>
    <t>tripeiros-1415</t>
  </si>
  <si>
    <t>Есть картинка (ИИ, азулежу). Проверить фахверк (в Порту гранит и сланец). Подпись стоит. Условия Gemini прочитать.</t>
  </si>
  <si>
    <t>Памятник Лагоа Энрикеша (1960): название, адрес, координаты, официальная страница.</t>
  </si>
  <si>
    <t>У Зурары не найдено. Голос «мы» оставлен по решению владельца.</t>
  </si>
  <si>
    <t>Вычитать PT.</t>
  </si>
  <si>
    <t>guerra-laranjas-1801</t>
  </si>
  <si>
    <t>Есть картинка (ИИ). Крепость как замок, а не звёздчатый форт (в превью обрезана). Ноги лошади проверить.</t>
  </si>
  <si>
    <t>Мост не выбран (Forte de Santa Luzia в Элваше не проверен).</t>
  </si>
  <si>
    <t>Предание: ветка апельсинов или цветов (источники расходятся). 18 дней, Норонья держал Элваш, Оливенса, ратификация 1817. Спросить себя: теперь понятно, зачем ветка?</t>
  </si>
  <si>
    <t>Новый хук. Вычитать PT («conta a tradição»).</t>
  </si>
  <si>
    <t>casa-da-neve-1782</t>
  </si>
  <si>
    <t>Свободного файла нет. Снять самому или шаблон превью.</t>
  </si>
  <si>
    <t>Café Martinho da Arcada: Praça do Comércio 3. Часы расходятся. Координаты. Сайт martinhodaarcada.pt.</t>
  </si>
  <si>
    <t>Год открытия 1778 или 1782 (в тексте оба); имя 1829 или 1845. Монополия на лёд (DN, getlisbon). Путь снега Эштрела, Лозан, Монтежунту. Ссора с Marrare (RTP).</t>
  </si>
  <si>
    <t>Вычитать PT. «Neveiro» и «хранитель льда» согласовать.</t>
  </si>
  <si>
    <t>douro-1756</t>
  </si>
  <si>
    <t>Фото marco pombalino с Commons (не искал) или шаблон превью.</t>
  </si>
  <si>
    <t>17•56 Museu &amp; Enoteca (Gaia): координаты, часы, адрес.</t>
  </si>
  <si>
    <t>Новая карточка. «Первая в мире демаркированная» подано как «часто называют». 335 столбов (1758, 1761), около 100 стоят. Бузина вырывалась против подделок; про цвет не заявлено. «Монополия на торговлю с Англией и Бразилией» из Taylor's.</t>
  </si>
  <si>
    <t>Вычитать PT. Хук про бузину: цепляет ли?</t>
  </si>
  <si>
    <t>elefantes-malaca-1511</t>
  </si>
  <si>
    <t>Рисунок «Malaca» Гаспара Корреи (Torre do Tombo): найти файл на Commons, лицензию снимка.</t>
  </si>
  <si>
    <t>Памятник Албукерки в Белеме: координаты, официальная страница (в источниках только блог). Запасной: Casa dos Bicos.</t>
  </si>
  <si>
    <t>Цитата Пиреша: в нескольких энциклопедиях, не в Suma Oriental. Число слонов, силы Албукерки (1000–1200), дата падения не названа. Первоисточники не читаны.</t>
  </si>
  <si>
    <t>Новый хук и история. Вычитать PT.</t>
  </si>
  <si>
    <t>torres-vedras-1810</t>
  </si>
  <si>
    <t>Карта Clements Library (лицензия) или фото форта на Commons. Файл не выбран.</t>
  </si>
  <si>
    <t>Центр интерпретации в форте São Vicente: координаты. Часы 10–13, 14–18, закрыт по понедельникам, 2 € (rhlt.pt).</t>
  </si>
  <si>
    <t>Силы Массена 50 000–61 000, число фортов (152?), «секретность» мягко. Ёмкость форта 2000/4000 (муниципалитет).</t>
  </si>
  <si>
    <t>Новый хук. Вычитать PT.</t>
  </si>
  <si>
    <t>aljubarrota-1385</t>
  </si>
  <si>
    <t>Миниатюра Froissart (BnF fr. 2643, f. 72): найти файл на Commons.</t>
  </si>
  <si>
    <t>CIBA (São Jorge): адрес, координаты, часы.</t>
  </si>
  <si>
    <t>Рвы и ямы известны по Froissart, у Лопеша и Айялы их нет («по Фруассару» в истории). 18 000 из слабого источника: заменить. «Час вечерни» через панно CIBA. Возраст Нуну вычислен.</t>
  </si>
  <si>
    <t>Хук и история переписаны. Вычитать PT.</t>
  </si>
  <si>
    <t>terramoto-1755</t>
  </si>
  <si>
    <t>позже</t>
  </si>
  <si>
    <t>Гравюра 1755 г. (Commons) или панно «Grande Panorama de Lisboa» (лицензия снимка).</t>
  </si>
  <si>
    <t>Museu Arqueológico do Carmo: координаты, часы.</t>
  </si>
  <si>
    <t>Письмо короля: один источник, нужен Molesky. Высота цунами в Лиссабоне не найдена.</t>
  </si>
  <si>
    <t>Тяжёлая тема. Без правок.</t>
  </si>
  <si>
    <t>ponte-das-barcas-1809</t>
  </si>
  <si>
    <t>Народная гравюра (Museu Soares dos Reis) или картина маслом: файл и лицензия.</t>
  </si>
  <si>
    <t>Alminhas da Ponte: координаты. Запасной: церковь Сан-Жозе-даш-Тайпаш.</t>
  </si>
  <si>
    <t>Число погибших (от сотен до 4000): теперь только в истории. «O Desastre» из блога. Свечи и месса из DN.</t>
  </si>
  <si>
    <t>Тяжёлая тема. Новый хук.</t>
  </si>
  <si>
    <t>motim-companhia-1757</t>
  </si>
  <si>
    <t>Кандидата нет.</t>
  </si>
  <si>
    <t>17•56 Museu &amp; Enoteca: тот же мост, что у douro-1756.</t>
  </si>
  <si>
    <t>Остался только бунт. Казнённых 14–17: нужен Ribeiro da Silva.</t>
  </si>
  <si>
    <t>Тяжёлая тема. Новый хук. Связана с douro-1756.</t>
  </si>
  <si>
    <t>legiao-portuguesa-1812</t>
  </si>
  <si>
    <t>Моста нет.</t>
  </si>
  <si>
    <t>«60 орденов Почётного легиона» не проверено. Алорна в Кёнигсберге: один источник. Слово «лучшие» убрано.</t>
  </si>
  <si>
    <t>Новый хук.</t>
  </si>
  <si>
    <t>Общее перед публикацией</t>
  </si>
  <si>
    <t>Прочитать условия использования картинок сервиса (Gemini): коммерческое использование, атрибуция.</t>
  </si>
  <si>
    <t>Прочитать правила выбранного сабреддита: ИИ-контент, самореклама, формат ссылок, нужны ли метки (я правил не смотрел).</t>
  </si>
  <si>
    <t>Написать раскрытие: тексты написаны с помощью ИИ, факты сверены по открытым источникам, проект в бете. Не писать «проверено историком».</t>
  </si>
  <si>
    <t>Показать 3–5 носителям португальского и спросить: есть ли неестественные фразы.</t>
  </si>
  <si>
    <t>Закрыть координаты и адреса мостов у карточек набора.</t>
  </si>
  <si>
    <t>Скачать картинки (fetch_images.py), проверить кадры превью 1200×630, подписать ИИ-иллюстрации.</t>
  </si>
  <si>
    <t>Подготовить к каждой карточке 2–3 ссылки на источники из листа «Источники».</t>
  </si>
  <si>
    <t>Подготовить одну страницу для показа и один конкретный вопрос аудитории («какой крючок открыли бы?»).</t>
  </si>
  <si>
    <t>Подготовить ответы на ожидаемые возражения: спорные числа, предания, «это ИИ».</t>
  </si>
  <si>
    <t>После вычитки RU/PT свериться, что факты совпадают во всех трёх языках.</t>
  </si>
  <si>
    <t>Поправить spec §7 и схему Zod под новые лимиты (история 40–90, подробнее до 250 слов) и под три языка.</t>
  </si>
  <si>
    <t>id</t>
  </si>
  <si>
    <t>Эпоха</t>
  </si>
  <si>
    <t>Уровень</t>
  </si>
  <si>
    <t>Год</t>
  </si>
  <si>
    <t>Название (RU, для себя)</t>
  </si>
  <si>
    <t>Нить 1</t>
  </si>
  <si>
    <t>Нить 2</t>
  </si>
  <si>
    <t>Важность 1–3</t>
  </si>
  <si>
    <t>Метка</t>
  </si>
  <si>
    <t>Возраст</t>
  </si>
  <si>
    <t>Тяжёлая тема</t>
  </si>
  <si>
    <t>Статус работы</t>
  </si>
  <si>
    <t>Источников (найдено)</t>
  </si>
  <si>
    <t>Проверка</t>
  </si>
  <si>
    <t>Связанные id (через запятую)</t>
  </si>
  <si>
    <t>Интерактив: тип</t>
  </si>
  <si>
    <t>Интерактив: данные (JSON)</t>
  </si>
  <si>
    <t>Рецензент</t>
  </si>
  <si>
    <t>Дата рецензии</t>
  </si>
  <si>
    <t>Заметки / ⚠</t>
  </si>
  <si>
    <t>служ.: строка в Тексты</t>
  </si>
  <si>
    <t>служ.: строка в Места</t>
  </si>
  <si>
    <t>служ.: проблемы</t>
  </si>
  <si>
    <t>avis-e-descobrimentos</t>
  </si>
  <si>
    <t>story</t>
  </si>
  <si>
    <t>Карта Кантино: шпион пришёл за лошадьми</t>
  </si>
  <si>
    <t>mar</t>
  </si>
  <si>
    <t>all</t>
  </si>
  <si>
    <t>черновик</t>
  </si>
  <si>
    <t>Источники расходятся, когда карту нашли в лавке (Wikipedia: в 1859, NatGeo: через несколько лет): в тексте года находки нет. Копия в Museu de Marinha: проверить, выставлена ли. Адрес и координаты музея проверить. Картинку (Commons) найти и проверить лицензию. [16.10.2026] Кандидат на картинку записан в листе «Картинки» (файл ещё не скачан). Вид и кадрирование не проверялись. [16.10.2026] Правки владельца: в историю добавлено, как карта повлияла (копия в Генуе, затем карта Вальдземюллера 1507). «Подробнее» расширено и разбито на 4 абзаца. О судьбе самого Кантино после 1502 года надёжных данных не нашёл.</t>
  </si>
  <si>
    <t>Носорог и слон</t>
  </si>
  <si>
    <t>natureza</t>
  </si>
  <si>
    <t>Метка documented, а не «Предание» как в design: решает историк. Адрес, сайт и координаты Торре-де-Белен проверить. [16.10.2026] Кандидат на картинку записан в листе «Картинки» (файл ещё не скачан). Вид и кадрирование не проверялись. [16.10.2026] Правки владельца: «Подробнее» разбито на 4 абзаца. Про чучело: версии расходятся, следов сохранившегося нет.</t>
  </si>
  <si>
    <t>Tripeiros: город отдал мясо, оставил потроха</t>
  </si>
  <si>
    <t>comida-e-vinho</t>
  </si>
  <si>
    <t>gente-como-nos</t>
  </si>
  <si>
    <t>legend</t>
  </si>
  <si>
    <t>Предание: у Зурары не нашли, современной хроники с этим сюжетом нет. Версии расходятся (в одной прозвище старше на 30 лет). Мост: памятник Лагоа Энрикеша 1960 г., официального названия, адреса и сайта нет: найти на сайте муниципалитета Порту. Запасной мост: вокзал Сан-Бенту (азулежу Жорже Колашу про Сеуту). Вторая нить «Люди как мы» на усмотрение владельца. [16.10.2026] Картинка v2 (азулежу, ИИ): мясо теперь читается, средневековая стена и порт ✓. ⚠ Дома с фахверком похожи на северную Европу, не на гранитный Порту; для превью использована обрезка 1200×630. Лицензия не проверена.</t>
  </si>
  <si>
    <t>pombal-e-terramoto</t>
  </si>
  <si>
    <t>frame</t>
  </si>
  <si>
    <t>Апельсиновая война: Годой теряет Элваш, Португалия теряет Оливенсу</t>
  </si>
  <si>
    <t>poder-e-revolta</t>
  </si>
  <si>
    <t>Анекдот про ветку апельсина (в PT-источниках «ramo de flores de laranjeira», в документе «ветки апельсина») подан как предание, метка карточки documented относится к войне и договору. Даты расходятся: 20 мая–6 июня или 9 июня; в тексте только «май 1801» и подпись договора 6 июня. Вена 1815 / ратификация Испанией 7 мая 1817: Observador и MNE, лучше взять сам Заключительный акт (ст. 105). Мост: Эльваш (ЮНЕСКО), точка посещения и адрес не выбраны; Оливенса как второй мост. Крепость Santa Luzia из документа не проверена. Координаты приблизительные. [Перепроверка 16.10.2026] Мост в Эльваше не выбран: Forte de Santa Luzia не проверен, в этом раунде не искал. [16.10.2026] Картинка (азулежу, ИИ): сцена с веткой апельсина читается. ⚠ Крепость на холме нарисована как средневековый замок, а не звёздчатый форт Эльваша; в превью она обрезана. Подпись говорит, что это предание. Лицензия не проверена. [16.10.2026] Правки владельца: новый хук; в истории объяснено, почему апельсиновая ветка; «Подробнее» расширено.</t>
  </si>
  <si>
    <t>Casa da Neve: кафе, которое открыл «снежный мастер» короля</t>
  </si>
  <si>
    <t>Источники расходятся: день открытия (2 или 7 января 1782), год, когда кафе получило имя Martinho (1829 или 1845). В тексте дня нет, в «Подробнее» оба варианта. Откуда возили снег (Эштрела, Монтежунту?) источники не говорят: в текст не включено. Основатель Julião Pereira de Castro, neveiro-mor da Casa Real: одна газетная статья (CM), нужен второй источник. «Площадь отстроена после 1755» взято из общих знаний, подтвердить. Вторая нить на усмотрение владельца. Официальный сайт кафе найти (пока страница «Lojas com História»). Координаты приблизительные. [Перепроверка 16.10.2026] Год основания в одном источнике 1778 (Ara), в остальных 1782. Источников стало 6. Мост: часы и название стола проверить на сайте кафе. [16.10.2026] Мост заполнен: Café Martinho da Arcada, Praça do Comércio 3 (в реестре города указан Rua da Prata 2/8). Часы расходятся: пн–сб 7–23 по реестру города, ежедневно 12–22 по Time Out; смотреть на martinhodaarcada.pt. Координат нет. Картинка: свободного файла не нашёл, можно снять самому. [16.10.2026] Правки владельца: «Подробнее» расширено (путь снега, монополия, «neve», ссора с Marrare). Год открытия 1778 или 1782 вынесен в историю и подпись года.</t>
  </si>
  <si>
    <t>Камни, которыми огородили портвейн</t>
  </si>
  <si>
    <t>[16.10.2026] Новая карточка: выделена из Motim по замечанию владельца (основание Компании и демаркация отдельно от бунта). Факты по Taylor's, Wine Anorak, UP; «бузина» подана без подробностей про подделку цвета. Картинка: фото marco pombalino на Commons не искал.</t>
  </si>
  <si>
    <t>День, когда слоны повернули назад (Малакка)</t>
  </si>
  <si>
    <t>12</t>
  </si>
  <si>
    <t>Источники расходятся: число слонов (≈20 по одному, «стадо» по другому) и как упал султан. «Отравленные дротики» и «4-метровые пики» из списка Gemini не подтвердились: в тексте только «лэнс/копьё». Первоисточник (хроники, «Комментарии») не читан. Мост: Casa dos Bicos, построена сыном Албукерки Брасом: проверить координаты, часы работы (источники расходятся: пн–пт или пн–сб). [16.10.2026] Дата падения города (15 или 24 августа) и численность сил расходятся: см. заметку в «Тексты». Кандидат на картинку: рисунок «Malaca» из Lendas da Índia Гаспара Корреи (Torre do Tombo). [16.10.2026] Кандидат на картинку записан в листе «Картинки» (файл ещё не скачан). Вид и кадрирование не проверялись. [16.10.2026] Правки владельца: новый хук, история с цитатой Пиреша. Мост заменён на памятник Албукерки в Белеме (Casa dos Bicos осталась в тексте через сына Браша). Официальной страницы моста нет.</t>
  </si>
  <si>
    <t>Линии Торрес-Ведрас: Массена нашёл крепость, о которой не знал</t>
  </si>
  <si>
    <t>legiao-portuguesa-1812, ponte-das-barcas-1809</t>
  </si>
  <si>
    <t>Число фортов не вынесено в текст: источники расходятся (в документе 152, в справочниках «более 150»). «Тысячи рабочих» заменено на «Portuguese workers»: число не подтверждено. Число португальских мирных жертв (≈50 тыс. по Military Wiki) слабый источник: в «Подробнее» только «десятки тысяч» с оговоркой, нужен научный источник. Заданные в тексте 60 000 у Массены: Wikipedia (61 000), историки дают 60–65 тыс. Форт São Vicente и его часы работы не проверены. Координаты форта не заполнены. Вторая нить на усмотрение владельца. [Перепроверка 16.10.2026] Мост выбран: Центр интерпретации Линий в форте São Vicente (официальный сайт маршрута). Часы (10–13, 14–18, закрыт по понедельникам) и цена (2 €) смотрите на сайте при публикации. Координаты форта ещё не заполнены. [16.10.2026] Кандидат на картинку записан в листе «Картинки» (файл ещё не скачан). Вид и кадрирование не проверялись. [16.10.2026] Правки владельца: новый хук.</t>
  </si>
  <si>
    <t>Алжубарроту</t>
  </si>
  <si>
    <t>army_dots</t>
  </si>
  <si>
    <t>{"dot_value": 1000, "portuguese": {"low": 7000, "high": 7000}, "castilian": {"low": 18000, "high": 44000}, "castilian_in_combat": 10000, "caption": {"en": "By historians' estimates. Figures vary widely between sources.", "pt": "Segundo estimativas de historiadores. Os números variam muito entre fontes."}}</t>
  </si>
  <si>
    <t>Текст переписан (v3): совет не согласился, Нуну 25 лет, конец через Кармо. Цифра 18 000 из слабого источника. sensitive=нет и вторая нить: решения владельца. Лопеш про «час вечерни» взят из панно CIBA, сам текст хроники не читан. [16.10.2026] Хук и история смягчены: рвы и ямы известны по Froissart, у Лопеша и очевидца Айялы их нет. Кандидат на картинку: миниатюра Froissart (BnF fr. 2643, f. 72), PD на Commons. [16.10.2026] Правки владельца: хук переписан, история начинается с Нуну и не скомкана (лимит расширен).</t>
  </si>
  <si>
    <t>Землетрясение 1755</t>
  </si>
  <si>
    <t>Текст переписан (v2): король, дочь, палатки, Помбал. Письмо короля: один источник. Кант и Вольтер убраны из «Подробнее» ради места. Высоту цунами в Лиссабоне не нашли: числа в тексте нет. [16.10.2026] Кандидат на картинку записан в листе «Картинки» (файл ещё не скачан). Вид и кадрирование не проверялись.</t>
  </si>
  <si>
    <t>Мост из лодок: бегство из Порту 29 марта 1809</t>
  </si>
  <si>
    <t>motim-companhia-1757, torres-vedras-1810</t>
  </si>
  <si>
    <t>Тяжёлая тема: массовая гибель людей. Число погибших: ≈4000 (Wikipedia, список бедствий) и ≈5000 (Infopédia): в тексте диапазон 4000–5000. Скульптор Teixeira Lopes и дата 1897: Wikipedia, нужен второй источник. «Мост построен в 1806»: Infopédia. Исправление к списку: «Alminhas da Ponte» — бронзовый барельеф 1897, не «свечи из старины»; ежегодные процессии упомянуты слабым источником (audiala), в текст не включены. Координаты места и памятника не заполнены: найти. Нет второй нити. [Перепроверка 16.10.2026] Запасной мост: церковь São José das Taipas (Rua das Taipas 89, адрес из слабого источника). Рядом с барельефом есть современный монумент Souto de Moura (2009, DN): уточнить название и использовать как ориентир. [16.10.2026] Кандидат на картинку записан в листе «Картинки» (файл ещё не скачан). Вид и кадрирование не проверялись. [16.10.2026] Правки владельца: новый хук; история и «Подробнее» больше не дублируют друг друга.</t>
  </si>
  <si>
    <t>Порту 1757: «Да здравствует король! Смерть Компании!»</t>
  </si>
  <si>
    <t>Исправление к списку из документа: названия «Motim dos Bordoairos / dos Bêbados» не нашли; в научных текстах «Motim da Companhia» (англ. Tipplers' Revolt), «Motins do Porto de 1757». Казнено 17 человек (13 мужчин, 4 женщины), а не 25. Число 17 и дата 14 октября из блога Executed Today: нужен научный источник (Ribeiro da Silva, «Os motins do Porto de 1757», 1990). «Первая в мире демаркированная винная зона»: формулировка из того же блога, в тексте «часто называют». Мост: Real Companhia Velha (Vila Nova de Gaia), та же Компания: название и адрес не проверены. Пограничные столбы (marcos de feitoria) в текст не включены: нет источника. Тяжёлая тема: казни. Вторая нить на усмотрение владельца. [Перепроверка 16.10.2026] Мост заменён на реальный: 17•56 Museu &amp; Enoteca (Cais de Gaia), название по году основания. Координаты и часы проверить. Источников стало 7. [16.10.2026] Правки владельца: основание Компании и камни выделены в карточку douro-1756; здесь остался бунт. Новый хук.</t>
  </si>
  <si>
    <t>Португальский легион: от Лиссабона до Бородино</t>
  </si>
  <si>
    <t>Цифры: 9000 человек (Wikipedia), около 100 оставшихся к 1813 (Infopédia): в источниках разброс, в «Подробнее» оговорка. «Борoдино/Смоленск/Березина/Ваграм» взяты из Wikipedia: нужен второй источник. Моста в сегодня нет: идея Museu Militar de Lisboa, проверить, есть ли экспонаты Легиона. Идея для второй карточки: Gomes Freire de Andrade, заместитель командира Легиона (казнён в 1817 по делу о заговоре, из общих знаний: проверить), связь с Синедрионом 1818 и революцией 1820. Вторая нить на усмотрение владельца. Координаты Бородино приблизительные. [Перепроверка 16.10.2026] Моста по-прежнему нет. Для сверки с карточкой 1815–1817: Gomes Freire де Andrade (казнён в 1817) связан с этим же Легионом. [16.10.2026] Правки владельца: новый хук; слово «лучшие» из истории убрано (в моих проверках не подтвердилось).</t>
  </si>
  <si>
    <t>Крючок EN (до 12 сл.)</t>
  </si>
  <si>
    <t>сл.</t>
  </si>
  <si>
    <t>Крючок PT (до 12 сл.)</t>
  </si>
  <si>
    <t>История EN (40–90 сл.)</t>
  </si>
  <si>
    <t>История PT (40–90 сл.)</t>
  </si>
  <si>
    <t>Подробнее EN (до 250 сл.)</t>
  </si>
  <si>
    <t>Подробнее PT (до 250 сл.)</t>
  </si>
  <si>
    <t>Крючок RU (до 12 сл.)</t>
  </si>
  <si>
    <t>История RU (40–90 сл.)</t>
  </si>
  <si>
    <t>Подробнее RU (до 250 сл.)</t>
  </si>
  <si>
    <t>Идеи / вариант v2 / заметки к тексту</t>
  </si>
  <si>
    <t>Мои правки (владелец)</t>
  </si>
  <si>
    <t>He came to trade horses. He left with the world.</t>
  </si>
  <si>
    <t>Veio negociar cavalos. Levou o mundo.</t>
  </si>
  <si>
    <t>Alberto Cantino arrived in Lisbon in 1501 as a horse dealer. He was really a spy for the Duke of Ferrara, sent to learn what Portuguese captains found. Maps of the new routes were state secrets, yet for 12 gold ducats someone in Lisbon drew him a copy of the world: Brazil, Africa, the way to India. In 1502 he slipped it out of Portugal. In Genoa a mapmaker copied it, and from there its coastlines reached Waldseemüller's 1507 map, the one that gave America its name.</t>
  </si>
  <si>
    <t>Em 1501, Alberto Cantino chegou a Lisboa a dizer que vinha tratar de cavalos. Era espião do duque de Ferrara e queria saber o que os capitães andavam a descobrir. Os mapas das novas rotas eram segredo de Estado, mas por 12 ducados de ouro alguém em Lisboa desenhou-lhe uma cópia do mundo: o Brasil, África, o caminho para a Índia. Em 1502 levou-a às escondidas. Em Génova copiaram-na, e as suas costas chegaram ao mapa de Waldseemüller, de 1507, o que deu nome à América.</t>
  </si>
  <si>
    <t>Cantino's letters survive. In one, from 1501, he says he overheard Gaspar Corte-Real report to King Manuel on his voyage to Newfoundland. How he got the map is debated: a bribe to a Portuguese official, a purchase, or both. His price, according to the letters, was 12 gold ducats.
The map is huge, over two metres wide, drawn on six sheets of parchment. It already shows the Tordesillas line, the coast of Brazil and the Portuguese fort of Elmina, and it is the earliest surviving chart to place parts of Africa, Brazil and India by latitude.
The secret did not last. In 1504 King Manuel banned mapmakers from drawing the African coast beyond São Tomé, but copies were already travelling, and the Cantino map itself aged fast: Caverio's and Waldseemüller's maps soon overtook it. It sat in the library of Ferrara, then Modena. In 1859 a revolt ransacked the palace, and the library director found it in a pork butcher's shop, pasted on a screen.
Today it is in Modena's Biblioteca Estense. A copy is kept in Lisbon's Museu de Marinha, in Belém.</t>
  </si>
  <si>
    <t>As cartas de Cantino sobrevivem. Numa delas, de 1501, diz que ouviu Gaspar Corte-Real fazer ao rei D. Manuel o relato da sua viagem à Terra Nova. Como obteve o mapa é discutido: suborno a um funcionário português, compra, ou as duas coisas. O preço, segundo as cartas, foi de 12 ducados de ouro.
O mapa é enorme, com mais de dois metros de largura, desenhado em seis folhas de pergaminho. Já mostra a linha de Tordesilhas, a costa do Brasil e o forte português da Mina, e é a mais antiga carta que se conserva a colocar partes de África, do Brasil e da Índia por latitude.
O segredo não durou. Em 1504, D. Manuel proibiu os cartógrafos de desenhar a costa africana para lá de São Tomé, mas as cópias já circulavam, e o próprio mapa de Cantino envelheceu depressa: os mapas de Caverio e de Waldseemüller depressa o ultrapassaram. Ficou na biblioteca de Ferrara e depois em Módena. Em 1859, uma revolta saqueou o palácio, e o diretor da biblioteca encontrou-o num talho, colado num biombo.
Hoje está na Biblioteca Estense, em Módena. Há uma cópia no Museu de Marinha, em Belém.</t>
  </si>
  <si>
    <t>Он приехал торговать лошадьми. Увёз целый мир.</t>
  </si>
  <si>
    <t>Альберто Кантино приехал в Лиссабон в 1501 году под видом торговца лошадьми. На самом деле он был шпионом герцога Феррарского и выяснял, что находят португальские капитаны. Карты новых маршрутов были государственной тайной, но за 12 золотых дукатов кто-то в Лиссабоне нарисовал ему копию мира: Бразилию, Африку, дорогу в Индию. В 1502 году он тайно вывез её. В Генуе карту скопировал картограф, и оттуда её берега попали на карту Вальдземюллера 1507 года, ту самую, что дала имя Америке.</t>
  </si>
  <si>
    <t>Письма Кантино сохранились. В одном из них, 1501 года, он пишет, что подслушал, как Гашпар Кортиреал докладывал королю Мануэлу о плавании к Ньюфаундленду. Как он получил карту, спорят: подкуп португальского чиновника, покупка или и то и другое. Цена, по письмам, 12 золотых дукатов.
Карта огромна, свыше двух метров в ширину, нарисована на шести листах пергамента. На ней уже есть линия Тордесильяса, побережье Бразилии и португальская крепость Эльмина, и это древнейшая сохранившаяся карта, где части Африки, Бразилии и Индии размещены по широте.
Секрет не продержался. В 1504 году король Мануэл запретил картографам рисовать побережье Африки дальше Сан-Томе, но копии уже разошлись, а сама карта быстро устарела: карты Каверио и Вальдземюллера скоро её превзошли. Она лежала в библиотеке Феррары, потом Модены. В 1859 году мятеж разграбил дворец, и директор библиотеки нашёл её в мясной лавке, наклеенной на ширму.
Сегодня она хранится в библиотеке Эстенсе в Модене. Копия лежит в Морском музее Лиссабона, в Белеме.</t>
  </si>
  <si>
    <t>Запасные крючки: «Portugal guardava o mapa como um segredo. Um negociante de cavalos comprou-o.» / «It cost 12 ducats and ended up as a butcher's curtain.» (последнее: по одному источнику карта служила занавеской, не использовать без второго.) ⚠ В тексте «someone in Lisbon drew him a copy»: источники расходятся (подкуп чиновника, картографа или покупка). [PT переписан отдельно по-европейски, не переводом с EN.] [RU добавлен 16.10.2026: рабочий язык для вычитки, на сайте появится после переключателя.]</t>
  </si>
  <si>
    <t>The king pitted a rhino against an elephant. The elephant fled.</t>
  </si>
  <si>
    <t>O rei pôs um rinoceronte contra um elefante. O elefante fugiu.</t>
  </si>
  <si>
    <t>In May 1515 a rhinoceros arrived in Lisbon from India, the first live one in Europe since Roman times. On 3 June King Manuel I decided to test Pliny's claim that elephants and rhinos are bitter enemies. A young elephant was brought out before a crowd. It panicked at the noisy crowd and fled before a single blow was struck.</t>
  </si>
  <si>
    <t>Em maio de 1515 chegou a Lisboa um rinoceronte vindo da Índia, o primeiro vivo que a Europa via desde os romanos. A 3 de junho, D. Manuel I quis ver se era verdade o que Plínio escrevera: que elefantes e rinocerontes são inimigos de morte. Trouxeram um elefante novo perante a multidão. O bicho assustou-se com o barulho e fugiu antes de a luta começar.</t>
  </si>
  <si>
    <t>The rhino was a gift from Sultan Muzaffar of Cambay (Gujarat) to the governor Afonso de Albuquerque, who sent it on to Manuel after a four-month voyage. It lived in Europe from 20 May 1515 to January 1516.
A year earlier Manuel had sent Pope Leo X an elephant, Hanno, and in December 1515 he decided to send the rhino too. The ship sank in a storm off La Spezia at the end of January 1516, and the animal drowned. Accounts of the body differ: most say it washed ashore and was stuffed and sent on to the Pope, others that the skin went back to Lisbon first. We found no trace of a stuffed rhino today.
Albrecht Dürer never saw it: he worked from a sketch and a description from Lisbon, but his woodcut, with its extra horn on the shoulder, became Europe's standard rhinoceros for centuries.
In Lisbon, a stone rhinoceros is thought to look out from a corner turret of Belém Tower, built in those same years.</t>
  </si>
  <si>
    <t>O rinoceronte foi uma oferta do sultão Muzaffar de Cambaia (Guzerate) ao governador Afonso de Albuquerque, que o enviou a D. Manuel depois de quatro meses de viagem. Viveu na Europa de 20 de maio de 1515 a janeiro de 1516.
Um ano antes, D. Manuel tinha enviado ao Papa Leão X um elefante, Hanão, e em dezembro de 1515 decidiu enviar também o rinoceronte. O navio afundou-se numa tempestade ao largo de La Spezia, no fim de janeiro de 1516, e o animal morreu afogado. Os relatos sobre o corpo divergem: a maioria diz que deu à costa, foi empalhado e seguiu para o Papa, outros que a pele voltou primeiro a Lisboa. Não encontrámos rasto de nenhum rinoceronte empalhado que exista hoje.
Albrecht Dürer nunca o viu: baseou-se no esboço e na descrição de um mercador, mas a sua gravura, com um corno a mais no ombro, passou séculos a ser o rinoceronte da Europa.
Em Lisboa, diz-se que há um rinoceronte de pedra numa guarita da Torre de Belém, construída por essa altura.</t>
  </si>
  <si>
    <t>Король стравил носорога со слоном. Слон убежал.</t>
  </si>
  <si>
    <t>В мае 1515 года в Лиссабон из Индии привезли носорога, первого живого носорога в Европе со времён римлян. 3 июня король Мануэл I решил проверить слова Плиния о том, что слоны и носороги смертельные враги. К носорогу вывели молодого слона перед толпой. Слон испугался шума и убежал, не дождавшись первого удара.</t>
  </si>
  <si>
    <t>Носорог был подарком султана Музаффара Камбейского (Гуджарат) губернатору Афонсу де Албукерки, который переслал его Мануэлу после четырёхмесячного плавания. Он прожил в Европе с 20 мая 1515 года по январь 1516-го.
Годом раньше Мануэл отправил папе Льву X слона по имени Ханно, а в декабре 1515 года решил послать и носорога. Корабль затонул в шторм у Специи в конце января 1516 года, и животное утонуло. О судьбе тела рассказывают по-разному: чаще пишут, что его выбросило на берег, из него сделали чучело и отправили папе, но есть версия, что шкуру сначала вернули в Лиссабон. Следов сохранившегося чучела мы не нашли.
Альбрехт Дюрер его никогда не видел: он работал по наброску и описанию купца, но его гравюра с лишним рогом на плече на века стала в Европе образцом носорога.
В Лиссабоне, как считают, каменный носорог выглядывает с угловой башенки Белемской башни, построенной в те же годы.</t>
  </si>
  <si>
    <t>Работает. Проверить, нужна ли фраза про Плиния (источник: Crouch Rare Books и Pachyderm, подтвердить у историка). [PT переписан отдельно по-европейски, не переводом с EN.] [RU добавлен 16.10.2026: рабочий язык для вычитки, на сайте появится после переключателя.]</t>
  </si>
  <si>
    <t>Porto gave away its meat, kept the tripe, and got a nickname.</t>
  </si>
  <si>
    <t>O Porto deu a carne, ficou com as tripas, ganhou alcunha.</t>
  </si>
  <si>
    <t>According to legend, in 1415 Porto's shipyards were secretly building a fleet for Ceuta. Prince Henry, born in the city, turned up unannounced and told the foreman, Master Vaz, the real target. Vaz promised the ships all the city's meat; the people would keep the tripe. Henry called the nickname 'tripe-eaters' an honour. Porto has worn it ever since.</t>
  </si>
  <si>
    <t>Diz a lenda que, em 1415, os estaleiros do Porto construíam em segredo uma armada para Ceuta. O infante D. Henrique, nascido na cidade, apareceu sem avisar e contou ao mestre Vaz o verdadeiro destino. Vaz prometeu toda a carne da cidade aos navios; o povo ficava com as tripas. O infante disse que a alcunha de «tripeiros» era uma honra. O Porto nunca mais a largou.</t>
  </si>
  <si>
    <t>We found no chronicle of the time that tells this story, and versions differ: in one, the nickname is already thirty years old, from a war with Castile. The dish, however, is real: tripas à moda do Porto, tripe stewed with beans, sausages and cuts of pork, chicken and veal. In 1960 a bronze monument by Lagoa Henriques was placed beside the old yards, thanking the people of Porto who equipped the fleet. Its inscription says À Grei, 'to the people'.</t>
  </si>
  <si>
    <t>Não encontrámos nenhuma crónica da época com esta história, e as versões variam: numa delas, a alcunha já tinha trinta anos, vinda de uma guerra com Castela. O prato, esse, existe mesmo: tripas à moda do Porto, tripas guisadas com feijão, enchidos e carnes de porco, frango e vitela. Em 1960, foi colocado um monumento de bronze de Lagoa Henriques junto aos antigos estaleiros, em agradecimento ao povo do Porto que equipou a armada. Na inscrição lê-se «À Grei».</t>
  </si>
  <si>
    <t>Порту отдал мясо, оставил потроха и получил прозвище.</t>
  </si>
  <si>
    <t>Согласно легенде, в 1415 году верфи Порту втайне строили флот для похода на Сеуту. Инфант Энрике (Генрих Мореплаватель), родившийся в этом городе, нагрянул без предупреждения и открыл настоящую цель мастеру верфи по имени Ваш. Ваш пообещал кораблям всё мясо города, а людям остались потроха. Энрике назвал прозвище «tripeiros», то есть любители потрохов, почётным. Порту носит его до сих пор.</t>
  </si>
  <si>
    <t>Мы не нашли хроники того времени с этой историей, и версии расходятся: в одной прозвищу уже тридцать лет, оно пришло из войны с Кастилией. Зато блюдо настоящее: tripas à moda do Porto, рубец, тушёный с фасолью, колбасами и кусками свинины, курицы и телятины. В 1960 году у старых верфей поставили бронзовый памятник работы Лагоа Энрикеша в благодарность жителям Порту, снарядившим флот. На нём надпись À Grei, «народу».</t>
  </si>
  <si>
    <t>Запасной крючок: «Quem dá a carne fica com as tripas.» (игра с поговоркой, проверить, что поговорка так звучит). Фраза «We found no chronicle...» говорит от лица проекта: при редактуре поменять на нейтральную, если у сайта другой голос. ⚠ Блюдо в «Подробнее» перечислено по туристическим и кулинарным источникам, не по историческим. [PT переписан отдельно по-европейски, не переводом с EN.] [RU добавлен 16.10.2026: рабочий язык для вычитки, на сайте появится после переключателя.]</t>
  </si>
  <si>
    <t>The war named after a sprig of oranges sent to a queen.</t>
  </si>
  <si>
    <t>A guerra batizada por um ramo de laranjeira enviado à rainha.</t>
  </si>
  <si>
    <t>In May 1801 Spain, pushed by Napoleon's France, invaded Portugal. The army was led by Manuel Godoy, the prime minister and, people said, the queen's lover. He could not take the fortress of Elvas, but he took Olivença and a few border towns. Outside Elvas, says the tradition, Godoy picked a branch of oranges and sent it to Queen María Luisa as a token of victory. His enemies turned it into a joke, and the war became the War of the Oranges.</t>
  </si>
  <si>
    <t>Em maio de 1801, a Espanha, empurrada pela França de Napoleão, invadiu Portugal. O exército era comandado por Manuel Godoy, o primeiro-ministro e, diziam, amante da rainha. Não conseguiu tomar a fortaleza de Elvas, mas tomou Olivença e algumas vilas da fronteira. Diante de Elvas, conta a tradição, Godoy colheu um ramo de laranjas e enviou-o à rainha Maria Luísa como sinal de vitória. Os inimigos transformaram-no em anedota, e a guerra ficou a ser a Guerra das Laranjas.</t>
  </si>
  <si>
    <t>The war lasted about eighteen days, from 20 May to the Treaty of Badajoz on 6 June 1801. Elvas, under General Francisco de Noronha, held out. Spain gave back most of the towns it had taken but kept Olivença, and Portugal had to close its ports to British ships.
In 1815 the Congress of Vienna recognised Portugal's right to Olivença, and Spain ratified the final act in 1817, yet the town was never returned. Today Olivença, 23 km from Elvas, has about 12,000 inhabitants and is administered by Spain. Whether it should return to Portugal is still argued.
The orange episode is tradition, not a documented fact. Portuguese sources speak of a branch of orange blossom, Spanish and English ones of oranges, and it is the opponents of Godoy who are said to have turned it into a joke.</t>
  </si>
  <si>
    <t>A guerra durou cerca de dezoito dias, de 20 de maio ao Tratado de Badajoz, a 6 de junho de 1801. Elvas, sob o comando do general Francisco de Noronha, resistiu. A Espanha devolveu a maioria das praças que tinha tomado, mas ficou com Olivença, e Portugal teve de fechar os portos aos navios britânicos.
Em 1815, o Congresso de Viena reconheceu o direito de Portugal a Olivença, e a Espanha ratificou a ata final em 1817, mas a vila nunca foi devolvida. Hoje, Olivença, a 23 km de Elvas, tem cerca de 12 000 habitantes e é administrada pela Espanha. Se deve voltar a Portugal continua em discussão.
O episódio das laranjas é tradição, não um facto documentado. As fontes portuguesas falam de um ramo de flores de laranjeira, as espanholas e inglesas de laranjas, e diz-se que foram os adversários de Godoy a fazer dele uma anedota.</t>
  </si>
  <si>
    <t>Война, названная в честь апельсиновой ветки для королевы.</t>
  </si>
  <si>
    <t>В мае 1801 года Испания, подталкиваемая наполеоновской Францией, вторглась в Португалию. Армией командовал Мануэль Годой, первый министр и, как говорили, любовник королевы. Крепость Элваш он взять не смог, зато взял Оливенсу и несколько приграничных городков. Под Элвашем, гласит предание, Годой сорвал ветку апельсинов и отправил королеве Марии Луизе как знак победы. Его враги превратили это в шутку, и война осталась в истории «Апельсиновой».</t>
  </si>
  <si>
    <t>Война длилась около восемнадцати дней, с 20 мая до Бадахосского договора 6 июня 1801 года. Элваш под командованием генерала Франсишку де Норонья устоял. Испания вернула большинство захваченных городов, но оставила Оливенсу, а Португалия должна была закрыть порты для британских кораблей.
В 1815 году Венский конгресс признал право Португалии на Оливенсу, а Испания ратифицировала заключительный акт в 1817 году, но город так и не вернули. Сегодня Оливенса, в 23 км от Элваша, насчитывает около 12 000 жителей и управляется Испанией. Должна ли она вернуться в Португалию, по-прежнему спорят.
Эпизод с апельсинами это предание, а не документированный факт. Португальские источники пишут о ветке апельсинового цвета, испанские и английские об апельсинах, а превратили это в шутку, как говорят, противники Годоя.</t>
  </si>
  <si>
    <t>Запасной крючок: «A guerra mais curta de Portugal tem nome de fruta, e uma vila perdida.» (⚠ «самая короткая» не проверено, не использовать без источника). ⚠ «Godoy failed to take Elvas»: Wikipedia и статья Dialnet (отбит гарнизоном Элваша), нужен ещё источник. «Favourite»: DN. [PT написан отдельно по-европейски.] [Перепроверка 16.10.2026] «Signed» заменено на «ratified»: Испания не подписывала Заключительный акт 1815, а ратифицировала его 7.05.1817 (Observador, MNE). Хук говорит «laranjas», история «ramo de flores de laranjeira»: оставлено, это игра предания. [RU добавлен 16.10.2026: рабочий язык для вычитки, на сайте появится после переключателя.]</t>
  </si>
  <si>
    <t>Lisbon's oldest café was opened by the king's own ice-master.</t>
  </si>
  <si>
    <t>O café mais antigo de Lisboa foi aberto pelo neveiro do rei.</t>
  </si>
  <si>
    <t>In the second half of the 18th century, under the arcades of what is now Praça do Comércio, Lisbon got a shop that sold a luxury: ice (sources say 1778 or 1782). Its founder, Julião Pereira de Castro, was the royal household's chief snow-keeper. In a city of taverns, his Casa da Neve served cold drinks and flavoured ices to those who could pay. Today it is Lisbon's oldest café, Martinho da Arcada, and Fernando Pessoa's table is still reserved.</t>
  </si>
  <si>
    <t>Na segunda metade do século XVIII, sob as arcadas da atual Praça do Comércio, Lisboa ganhou uma loja que vendia um luxo: gelo (as fontes dizem 1778 ou 1782). O fundador, Julião Pereira de Castro, era o neveiro da Casa Real. Numa cidade de tabernas, a sua Casa da Neve servia bebidas geladas e «neves» com sabores a quem podia pagar. Hoje é o café mais antigo de Lisboa, o Martinho da Arcada, e a mesa de Fernando Pessoa continua reservada.</t>
  </si>
  <si>
    <t>Where did the ice come from? At first snow was gathered in the Serra da Estrela and the Serra da Lousã, packed in pits and carried by ox-cart and donkey to the Tagus, then by boat to Lisbon. Later the Royal Ice Factory in the Serra de Montejunto, much closer to the city, froze water at night in shallow tanks. Julião bought and rebuilt it in January 1782, as an inscription above its door says, and he held the kingdom's monopoly on snow and ice.
What was 'neve'? Not snow but flavoured ice, something between a sorbet and a granita. Eça de Queirós has a character taste orange and strawberry in 1877. In the 18th century the Casa da Neve even quarrelled with another historic café, Marrare, which also claimed a share of the ice reaching Lisbon.
Sources disagree on small details: the opening year (1778 or 1782) and day (2 or 7 January), and when the café took the name of its owner, Martinho Bartolomeu Rodrigues (1829 or 1845). In between it was an Italian coffee house. Its guests are said to include Bocage, Eça de Queirós and Pessoa. The square had been rebuilt after the 1755 earthquake.</t>
  </si>
  <si>
    <t>De onde vinha o gelo? Primeiro, a neve era recolhida na Serra da Estrela e na Serra da Lousã, prensada em poços e levada em carros de bois e burros até ao Tejo, e depois de barco até Lisboa. Mais tarde, a Real Fábrica do Gelo, na Serra de Montejunto, muito mais perto da cidade, congelava a água de noite em tanques rasos. Julião comprou-a e reedificou-a em janeiro de 1782, como diz uma inscrição sobre a porta, e tinha o monopólio da neve e do gelo do reino.
O que era a «neve»? Não era neve, era gelo com sabores, algo entre um sorvete e um granizado. Eça de Queirós põe uma personagem a provar laranja e morango, em 1877. No século XVIII, a Casa da Neve chegou a andar à rixa com outro café histórico, o Marrare, que também reclamava uma parte do gelo que chegava a Lisboa.
As fontes divergem em pormenores: o ano da abertura (1778 ou 1782) e o dia (2 ou 7 de janeiro), e quando o café passou a ter o nome do dono, Martinho Bartolomeu Rodrigues (1829 ou 1845). Pelo meio foi Casa de Café Italiana. Diz-se que por lá passaram Bocage, Eça de Queirós e Pessoa. A praça tinha sido reconstruída depois do terramoto de 1755.</t>
  </si>
  <si>
    <t>Старейшее кафе Лиссабона основал королевский хранитель льда.</t>
  </si>
  <si>
    <t>Во второй половине XVIII века под аркадами нынешней площади Коммерсио в Лиссабоне открылась лавка, продававшая роскошь: лёд (по разным источникам, в 1778 или 1782 году). Её основатель Жулиан Перейра де Кастру был главным хранителем снега при королевском дворе. В городе таверн его Каза-да-Нев подавала холодные напитки и фруктовый лёд тем, кто мог заплатить. Сегодня это старейшее кафе Лиссабона, Мартиньо да Аркада, а стол Фернандо Пессоа по-прежнему зарезервирован.</t>
  </si>
  <si>
    <t>Откуда брался лёд? Сначала снег собирали в Серра-да-Эштрела и Серра-да-Лозан, утрамбовывали в ямах и везли на волах и ослах до Тежу, а затем на лодках в Лиссабон. Позже Королевская ледяная фабрика в Серра-ди-Монтежунту, гораздо ближе к городу, замораживала воду по ночам в мелких бассейнах. Жулиан купил и перестроил её в январе 1782 года, как говорит надпись над дверью, и владел монополией на снег и лёд в королевстве.
Что такое «neve»? Не снег, а ароматный лёд, что-то среднее между щербетом и гранитой. У Эсы де Кейроша в 1877 году персонаж пробует апельсиновый с клубничным. В XVIII веке Каза-да-Нев даже ссорилась с другим историческим кафе, Марраре, которое тоже претендовало на часть льда, приходившего в Лиссабон.
Источники расходятся в мелочах: год открытия (1778 или 1782) и день (2 или 7 января), и когда кафе получило имя владельца, Мартиньо Бартоломеу Родригиша (1829 или 1845). Между тем это была итальянская кофейня. Говорят, среди гостей были Бокаже, Эса де Кейрош и Пессоа. Площадь была отстроена заново после землетрясения 1755 года.</t>
  </si>
  <si>
    <t>Крючок: «ice-master» = neveiro-mor da Casa Real (CM). Запасной крючок: «Em 1782, Lisboa descobriu o gelo. O dono era do palácio.» ⚠ «Fernando Pessoa's table is still reserved»: по Lisboa Secreta и Lojas com História, проверить на месте/на сайте. [PT написан отдельно по-европейски.] [Перепроверка 16.10.2026] Монополия на поставку льда двору: DN (Dentinho), поэтому добавлена в «Подробнее». Имя Martinho: Ara (1829, внук основателя) против Lisboa Secreta и DN (1845, покупатель Martinho Bartolomeu Rodrigues): в тексте оба года, «dono» оставлено как есть. «Старейшее кафе»: CM пишет «café de porta aberta mais antigo». Не использовано: последний кофе Пессоа за этим столом 27.11.1935 (Ara); Revolta da Sé 1959, планировавшийся за столом Martinho (колонка DN): идея для карточки эпохи 8. [RU добавлен 16.10.2026: рабочий язык для вычитки, на сайте появится после переключателя.] [16.10.2026] Реестр города «Lojas com História» (CML) называет 1829 годом, когда Martinho Bartolomeu Rodrigues дал кафе имя; DN и Lisboa Secreta пишут 1845: в тексте оба года. Дата открытия: 2 января 1782 (Lisboa Secreta) против 2 или 7 января в других источниках. livetheworld.com ошибочно пишет «открыл маркиз Помбал»: слабый источник, не использован.</t>
  </si>
  <si>
    <t>To save port, Pombal had the Douro's elder trees uprooted.</t>
  </si>
  <si>
    <t>Para salvar o vinho do Porto, Pombal mandou arrancar os sabugueiros.</t>
  </si>
  <si>
    <t>By the 1750s the port wine trade was in crisis: too much wine, too many fakes, and most of it sold by British merchants in Porto. In 1756 Sebastião José de Carvalho e Melo, the future Marquis of Pombal, created a company with a monopoly on the trade with England and Brazil, and the elder trees were uprooted. Two years later the first of 335 granite pillars went up to mark the region's borders, often called the world's first demarcated wine region.</t>
  </si>
  <si>
    <t>Nos anos 1750, o comércio do vinho do Porto estava em crise: vinho a mais, falsificações a mais, e a maior parte vendida por comerciantes britânicos no Porto. Em 1756, Sebastião José de Carvalho e Melo, o futuro marquês de Pombal, criou uma companhia com o monopólio do comércio com Inglaterra e o Brasil, e arrancaram-se os sabugueiros. Dois anos depois foi erguido o primeiro dos 335 marcos de granito que delimitam a região, muitas vezes apontada como a primeira região vinhateira demarcada do mundo.</t>
  </si>
  <si>
    <t>The stones were carved with 'Feitoria' and a year, the first in 1758, and about a hundred of the 335 still stand in the vineyards. In Portuguese they are the marcos pombalinos.
The company founded in 1756 is still alive: today it is the Real Companhia Velha, and its cellars and a small museum, 17•56, stand on the banks of the Douro in Vila Nova de Gaia.
Not everyone welcomed the new rules. In February 1757 Porto's tavern-keepers rose against the Company; that story has its own card.</t>
  </si>
  <si>
    <t>Os marcos tinham gravado «Feitoria» e um ano, os primeiros de 1758, e cerca de cem dos 335 ainda estão de pé nas vinhas. Chamam-se marcos pombalinos.
A companhia fundada em 1756 continua viva: hoje é a Real Companhia Velha, e as suas caves e um pequeno museu, o 17•56, ficam à beira do Douro, em Vila Nova de Gaia.
Nem todos receberam bem as novas regras. Em fevereiro de 1757, os taberneiros do Porto revoltaram-se contra a Companhia; essa história tem cartão próprio.</t>
  </si>
  <si>
    <t>Чтобы спасти портвейн, Помбал велел вырвать бузину в долине Дору.</t>
  </si>
  <si>
    <t>К 1750-м торговля портвейном была в кризисе: вина слишком много, подделок слишком много, а продавали его в основном британские купцы в Порту. В 1756 году Себастьян Жозе де Карвалью-и-Мелу, будущий маркиз Помбал, создал компанию с монополией на торговлю с Англией и Бразилией, и бузину вырвали. Через два года поставили первый из 335 гранитных столбов, отмечавших границы региона, который часто называют первым в мире демаркированным винным регионом.</t>
  </si>
  <si>
    <t>На камнях вырезали «Feitoria» и год, первые в 1758-м, и около сотни из 335 до сих пор стоят среди виноградников. По-португальски они называются marcos pombalinos.
Компания, основанная в 1756 году, существует до сих пор: сегодня это Real Companhia Velha, а её погреба и небольшой музей 17•56 стоят на берегу Дору в Вила-Нова-ди-Гая.
Не все приняли новые правила. В феврале 1757 года хозяева таверн Порту восстали против Компании: эта история в отдельной карточке.</t>
  </si>
  <si>
    <t>[16.10.2026] Хук про бузину взят из того, что бузину вырывали ради борьбы с подделками (Taylor's, Wine Anorak). Цвет вина и подробности подделки в тексте не заявлены.</t>
  </si>
  <si>
    <t>The sultan unleashed war elephants. They turned on his own men.</t>
  </si>
  <si>
    <t>O sultão lançou elefantes de guerra. Viraram-se contra os seus.</t>
  </si>
  <si>
    <t>«Whoever is lord of Malacca has his hand on the throat of Venice,» wrote the Portuguese apothecary Tomé Pires, because Malacca controlled the spice route. On 25 July 1511 Afonso de Albuquerque attacked it with about a thousand men. The sultan answered with war elephants. One Portuguese jabbed his lance into the lead elephant's eye. Howling, the animal turned back, the others panicked and trampled their own side, and the sultan fell from his mount, wounded. A month later the city was Portuguese.</t>
  </si>
  <si>
    <t>«Quem for senhor de Malaca tem a mão na garganta de Veneza», escreveu o boticário Tomé Pires, porque Malaca controlava a rota das especiarias. A 25 de julho de 1511, Afonso de Albuquerque atacou-a com cerca de mil homens. O sultão respondeu com elefantes de guerra. Um português espetou a lança no olho do elefante da frente. O bicho recuou aos berros, os outros entraram em pânico e esmagaram os seus, e o sultão caiu da montada, ferido. Um mês depois, a cidade era portuguesa.</t>
  </si>
  <si>
    <t>The numbers vary: some sources mention about twenty elephants, and the defenders are put at 20,000 to 30,000. Albuquerque is given between 1,000 and 1,200 men, about 700 of them Portuguese. He pulled back after the first assault, attacked again in August and took the city after about forty days of fighting.
The monument to Albuquerque in Belém shows the taking of Malacca on one of its four reliefs. Much of what we know of his campaigns comes from his son Brás, who turned his father's papers into the Commentaries and built Lisbon's Casa dos Bicos with the fortune his father had made.</t>
  </si>
  <si>
    <t>Os números variam: algumas fontes falam em cerca de vinte elefantes, e os defensores são calculados entre 20 000 e 30 000. A Albuquerque dão-se entre 1000 e 1200 homens, uns 700 deles portugueses. Recuou depois do primeiro assalto, voltou a atacar em agosto e tomou a cidade ao fim de cerca de quarenta dias de combates.
O monumento a Afonso de Albuquerque, em Belém, mostra a tomada de Malaca num dos seus quatro relevos. Muito do que sabemos das suas campanhas vem do filho, Brás, que transformou os papéis do pai nos Comentários e construiu em Lisboa a Casa dos Bicos com a fortuna que o pai juntara.</t>
  </si>
  <si>
    <t>Султан вывел боевых слонов. Они развернулись против него.</t>
  </si>
  <si>
    <t>«Кто владеет Малаккой, тот держит Венецию за горло», писал португальский аптекарь Томе Пиреш, ведь Малакка контролировала путь пряностей. 25 июля 1511 года Афонсу де Албукерки атаковал её с тысячей человек. Султан ответил боевыми слонами. Один португалец вонзил копьё в глаз передовому слону. С рёвом зверь повернул назад, остальные в панике затоптали своих, а султан упал с животного и был ранен. Через месяц город стал португальским.</t>
  </si>
  <si>
    <t>Цифры расходятся: одни источники упоминают около двадцати слонов, а защитников оценивают в 20 000–30 000. Албукерки дают от 1000 до 1200 человек, около 700 из них португальцы. После первого штурма он отступил, в августе атаковал снова и взял город после примерно сорока дней боёв.
Памятник Албукерки в Белеме показывает взятие Малакки на одном из четырёх рельефов. Многое о его походах известно от сына Браша, который превратил бумаги отца в «Комментарии» и построил в Лиссабоне Каза-душ-Бикуш на состояние отца.</t>
  </si>
  <si>
    <t>Запасной крючок: «O sultão tinha elefantes. Os portugueses tinham lanças compridas.» ⚠ Хронология в источниках склеена: нападение 25 июля, отход, новый штурм в августе, падение 24 августа. Фраза «A month later» упрощает: осада шла около сорока дней. [PT написан отдельно по-европейски, не переводом.] [16.10.2026] Нашёл при поиске картинок: Wikipedia даёт силы Албукерки как «около 1200 человек» (Portuguese Malacca) и как «700 португальцев и 300 малабарских вспомогательных» (Malay–Portuguese conflicts), а дату взятия города в одной статье 15 августа (врезка), в другой 24-го (текст). Конкретная дата из текста убрана, пока не сверено по Barros или «Комментариям». [RU добавлен 16.10.2026: рабочий язык для вычитки, на сайте появится после переключателя.]</t>
  </si>
  <si>
    <t>Portugal spent a year building forts the French barely knew existed.</t>
  </si>
  <si>
    <t>Um ano a construir fortes que os franceses mal sabiam que existiam.</t>
  </si>
  <si>
    <t>In October 1809, Wellington ordered fortifications built on the hills north of Lisbon. Portuguese workers raised forts and redoubts in secret. In September 1810, Marshal Masséna marched on Lisbon with about 60,000 men, through a land stripped of food by its own farmers. On 11 October he reached the Lines of Torres Vedras. A month later, hungry, he turned back.</t>
  </si>
  <si>
    <t>Em outubro de 1809, Wellington mandou fortificar as colinas a norte de Lisboa. Trabalhadores portugueses ergueram fortes e redutos em segredo. Em setembro de 1810, o marechal Masséna avançou para Lisboa com cerca de 60 000 homens, por uma terra sem comida, que os próprios camponeses tinham destruído. A 11 de outubro chegou às Linhas de Torres Vedras. Um mês depois, com fome, voltou para trás.</t>
  </si>
  <si>
    <t>The system had three lines of forts and redoubts between the Tagus and the Atlantic, designed by Wellington's chief engineer, Colonel Richard Fletcher. The biggest fort, São Vicente at Torres Vedras, had a garrison of about 2,000 men and room for around 4,000. Portuguese farmers left their land and destroyed the food they could not carry, so the French army went hungry. The French probed the lines at Sobral on 13 and 14 October, then camped in front of them until mid-November. Sources differ on the number of forts, and put Masséna's army at the lines between just over 50,000 and 61,000 men. The campaign was also a disaster for civilians: some estimates speak of tens of thousands of Portuguese dead from hunger and disease.</t>
  </si>
  <si>
    <t>O sistema tinha três linhas de fortes e redutos entre o Tejo e o Atlântico, desenhadas pelo engenheiro-chefe de Wellington, o coronel Richard Fletcher. O maior forte, o de São Vicente, em Torres Vedras, tinha uma guarnição de cerca de 2000 homens e espaço para uns 4000. Os camponeses portugueses abandonaram as terras e destruíram a comida que não podiam levar, e o exército francês passou fome. Os franceses testaram as linhas em Sobral, a 13 e 14 de outubro, e acamparam diante delas até meados de novembro. As fontes divergem quanto ao número de fortes e situam o exército de Masséna junto às linhas entre pouco mais de 50 000 e 61 000 homens. A campanha foi também um desastre para os civis: algumas estimativas apontam para dezenas de milhares de mortos portugueses por fome e doença.</t>
  </si>
  <si>
    <t>Целый год строили линию фортов, о которой французы почти не знали.</t>
  </si>
  <si>
    <t>В октябре 1809 года Веллингтон приказал построить укрепления на холмах севернее Лиссабона. Португальские рабочие втайне возводили форты и редуты. В сентябре 1810 года маршал Массена двинулся на Лиссабон примерно с 60 тысячами человек через землю, где крестьяне сами уничтожили всю еду. 11 октября он дошёл до линий Торриш-Ведраш. Через месяц, голодный, он повернул назад.</t>
  </si>
  <si>
    <t>Система состояла из трёх линий фортов и редутов между Тежу и Атлантикой, спроектированных главным инженером Веллингтона полковником Ричардом Флетчером. Крупнейший форт, Сан-Висенте в Торриш-Ведраш, имел гарнизон около 2000 человек и место примерно для 4000. Португальские крестьяне покидали земли и уничтожали еду, которую не могли унести, поэтому французская армия голодала. Французы прощупали линии у Собрала 13 и 14 октября, а затем стояли перед ними до середины ноября. Источники расходятся в числе фортов и оценивают армию Массена у линий от чуть более 50 000 до 61 000 человек. Кампания стала катастрофой и для гражданских: по некоторым оценкам, десятки тысяч португальцев умерли от голода и болезней.</t>
  </si>
  <si>
    <t>Запасной крючок: «O marechal chegou a Lisboa. Lisboa já tinha uma muralha de colinas.» ⚠ «Секретность»: Wikipedia, historyofwar.org говорят «почти полностью секретно», это не «никто не знал»: хроники Массены не читаны. Отход «a month later»: ночь 14/15 ноября 1810. [PT написан отдельно по-европейски.] [Перепроверка 16.10.2026] Хук смягчён: раньше «found ... only when he reached it» читалось как факт, а источники говорят «почти полностью секретно» (HistoryofWar) и «говорят, Массена спросил штаб, почему не знали» (Military Wiki). Ёмкость форта São Vicente: «5000» (HistoryofWar) против «гарнизон 2000–2200, места для ≈4000» (Portugal Film Commission, муниципалитет): взяты данные муниципалитета. Численность Массены у линий: 61 000 (Wikipedia) против «чуть больше 50 000» (HistoryofWar): в «Подробнее» диапазон, в истории «about 60,000» осталось. 152 форта: BHS Portugal. [RU добавлен 16.10.2026: рабочий язык для вычитки, на сайте появится после переключателя.]</t>
  </si>
  <si>
    <t>At 25, he left the war council and chose the battlefield himself.</t>
  </si>
  <si>
    <t>Aos 25 anos, deixou o conselho e escolheu o campo de batalha.</t>
  </si>
  <si>
    <t>In 1385 Nuno Álvares Pereira was 25 and Portugal's constable. The war council could not agree where to fight, so on 6 August he left the camp with about 2,000 men and chose the battlefield himself. Froissart says he had ditches and wolf pits dug across a narrow plateau. On 14 August, at the hour of vespers, the French knights who charged first rode straight into them. The Castilians, several times more numerous, lost.</t>
  </si>
  <si>
    <t>Em 1385, Nuno Álvares Pereira tinha 25 anos e era condestável de Portugal. O conselho de guerra não chegou a acordo sobre onde combater, por isso, a 6 de agosto, saiu do acampamento com uns 2000 homens e escolheu sozinho o campo de batalha. Segundo Froissart, mandou abrir valas e covas de lobo num planalto estreito. A 14, à hora das vésperas, os franceses que atacaram primeiro caíram lá dentro. Os castelhanos, muito mais numerosos, perderam.</t>
  </si>
  <si>
    <t>After the victory, Nuno gave most of his wealth to his veterans. In 1423, aged 63, he entered the Carmo convent he had founded in Lisbon and became Friar Nuno of Saint Mary. The 1755 earthquake destroyed the convent's roof; today its nave stands open to the sky. Numbers for the armies vary widely: the Aljubarrota Battle Foundation puts the Portuguese at about 7,000 and the Castilians at 31,000–44,000, of whom only about 10,000 fought. The 'Portuguese square' is now called a myth, and the baker woman who killed fleeing Castilians first appears in sources in the 16th century. He was canonised in 2009. The ditches and pits come from Froissart; Ayala, the Castilian eyewitness chronicler, and Fernão Lopes, sixty years later, do not describe them.</t>
  </si>
  <si>
    <t>Depois da vitória, Nuno deu a maior parte da fortuna aos seus veteranos. Em 1423, com 63 anos, entrou no Convento do Carmo, que ele próprio fundara em Lisboa, e passou a ser o Frei Nuno de Santa Maria. O terramoto de 1755 destruiu o telhado do convento; hoje a nave está aberta ao céu. Os números dos exércitos variam muito: a Fundação Batalha de Aljubarrota fala em cerca de 7000 portugueses e 31 000 a 44 000 castelhanos, dos quais só uns 10 000 combateram. O famoso «quadrado» português é hoje tido como mito, e a padeira que matou castelhanos em fuga só aparece nas fontes no século XVI. Foi canonizado em 2009. Fossos e covas vêm de Froissart; Ayala, cronista castelhano e testemunha ocular, e Fernão Lopes, sessenta anos depois, não os descrevem.</t>
  </si>
  <si>
    <t>25-летний коннетабль ушёл с совета и сам выбрал поле боя.</t>
  </si>
  <si>
    <t>В 1385 году Нуну Алвариш Перейра был 25-летним коннетаблем Португалии. Военный совет не мог решить, где принимать бой, и 6 августа он ушёл из лагеря с двумя тысячами человек и сам выбрал поле боя. По Фруассару, он велел вырыть рвы и волчьи ямы на узком плато. 14 августа, в час вечерни, французские рыцари, атаковавшие первыми, влетели прямо в них. Кастильцы, которых было в разы больше, проиграли.</t>
  </si>
  <si>
    <t>После победы Нуну раздал большую часть состояния своим ветеранам. В 1423 году, в 63 года, он вступил в основанный им в Лиссабоне монастырь Кармо и стал братом Нуну де Санта-Мария. Землетрясение 1755 года разрушило крышу монастыря, и сегодня его неф стоит открытым небу. Численность армий оценивают очень по-разному: Фонд битвы при Алжубарроте называет около 7000 португальцев и 31 000–44 000 кастильцев, из которых сражались лишь около 10 000. «Португальский квадрат» сегодня считают мифом, а пекарша, убившая бегущих кастильцев, появляется в источниках лишь в XVI веке. В 2009 году он был канонизирован. Рвы и ямы известны по Фруассару; кастильский хронист-очевидец Айяла и Фернан Лопеш, писавший через шестьдесят лет, их не описывают.</t>
  </si>
  <si>
    <t>Версия 3 внедрена (человек в центре: 25-летний Нуну, ушёл с совета; конец истории через монастырь Кармо связывает с карточкой 1755). Выброшено из v2 как неподтверждённое: «15 000 стрел за первые минуты» и «король Кастилии уплыл мимо Лиссабона». ⚠ «Чем ночью были рвы»: источники говорят только, что они были. «Час вечерни» по Лопешу (через панно CIBA). [PT переписан отдельно по-европейски, не переводом.] [RU добавлен 16.10.2026: рабочий язык для вычитки, на сайте появится после переключателя.] [16.10.2026] ВАЖНО: рвы и волчьи ямы (на них держался хук «buracos no chão») подтверждены Froissart, а очевидец Айяла молчит, и Лопеш, писавший через 60 лет, не описывает «оборонительную систему» (статья Antiquity, 1963; в 1960 Комиссия военной истории заказала отдельное исследование). Музей CIBA подаёт ямы как факт, и его опыт показал, что 700 человек могли выкопать их за несколько часов, но это не доказательство, что их копали. Поэтому хук и история смягчены («Froissart says», «maybe»). Если откатить, потеряется честность метки.</t>
  </si>
  <si>
    <t>The king left Lisbon that morning because his daughter asked.</t>
  </si>
  <si>
    <t>O rei saiu de Lisboa nessa manhã porque uma filha quis.</t>
  </si>
  <si>
    <t>On 1 November 1755, All Saints' Day, King José I heard Mass at sunrise and left Lisbon, because a daughter wanted to spend the holiday outside the city. At 9:40 the earthquake hit; the churches were full. A tsunami and days of fire followed; tens of thousands died. The king lived, but afterwards feared living within walls, and the court moved into tents on the hills of Ajuda.</t>
  </si>
  <si>
    <t>A 1 de novembro de 1755, Dia de Todos os Santos, D. José I ouviu missa logo de manhã e saiu de Lisboa, porque uma filha queria passar o feriado fora. Às 9h40, o terramoto; as igrejas estavam cheias. Seguiram-se o tsunami e dias de fogo, e morreram dezenas de milhares. O rei escapou, mas ficou com medo de paredes, e a corte mudou-se para tendas na Ajuda.</t>
  </si>
  <si>
    <t>Numbers are uncertain. Economic historian Álvaro Pereira estimates 30,000–40,000 deaths in Lisbon and 40,000–50,000 across Portugal, Spain and Morocco; other estimates range from 10,000 to 100,000. Wave heights are disputed too: a study of primary documents says long-repeated figures, such as 14–16 m at Tangier, should be abandoned. Pombal, the king's chief minister, reportedly said: bury the dead and heal the living. Records show he ordered the bodies removed the very next day, to prevent plague. The king wrote to his brother-in-law in Spain that he had no house, no servants, no subjects, no money, no bread. Today the roofless nave of the Carmo convent, founded by Nuno Álvares Pereira of Aljubarrota fame, serves as the memorial.</t>
  </si>
  <si>
    <t>Os números são incertos. O historiador de economia Álvaro Pereira estima entre 30 000 e 40 000 mortos em Lisboa e entre 40 000 e 50 000 em Portugal, Espanha e Marrocos; outras estimativas vão dos 10 000 aos 100 000. Também as alturas das ondas são discutidas: um estudo feito a partir de documentos da época diz que valores muito repetidos, como os 14 a 16 metros em Tânger, devem ser postos de parte. Pombal, o ministro do rei, terá dito: enterrar os mortos e tratar dos vivos. Os registos mostram que mandou retirar os corpos logo no dia seguinte, para evitar a peste. O rei escreveu ao cunhado, em Espanha, que ficara sem casa, sem criados, sem súbditos, sem dinheiro e sem pão. Hoje, a nave sem telhado do Convento do Carmo, fundado pelo vencedor de Aljubarrota, é o memorial do terramoto.</t>
  </si>
  <si>
    <t>Король уехал из Лиссабона в то утро, потому что дочь попросила.</t>
  </si>
  <si>
    <t>1 ноября 1755 года, в День всех святых, король Жозе I выслушал мессу на рассвете и уехал из Лиссабона: одна из дочерей хотела провести праздник за городом. В 9:40 началось землетрясение, церкви были полны. Затем пришли цунами и несколько дней пожаров, погибли десятки тысяч человек. Король остался жив, но с тех пор боялся жить в стенах, и двор переехал в палатки на холмах Ажуды.</t>
  </si>
  <si>
    <t>Цифры неточны. Историк экономики Альваро Перейра оценивает число погибших в 30 000–40 000 в Лиссабоне и 40 000–50 000 в Португалии, Испании и Марокко; другие оценки колеблются от 10 000 до 100 000. Высоты волн тоже оспариваются: исследование по документам эпохи говорит, что давно повторяемые цифры, например 14–16 м в Танжере, нужно отбросить. Помбал, главный министр короля, якобы сказал: хоронить мёртвых и лечить живых. Записи показывают, что уже на следующий день он приказал убрать тела, чтобы предотвратить чуму. Король написал шурину в Испанию, что у него нет ни дома, ни слуг, ни подданных, ни денег, ни хлеба. Сегодня неф монастыря Кармо без крыши, основанного победителем при Алжубарроте Нуну Алваришем Перейрой, служит мемориалом.</t>
  </si>
  <si>
    <t>Версия 2 внедрена: человек в центре (король уехал из города из-за дочери), без шуток, без громких слов. ⚠ Письмо короля к Фердинанду VI (дом, слуги, подданные, деньги, хлеб): один источник (New Criterion), нужен второй (Molesky, This Gulf of Fire). Фраза Помбала приписывается, поэтому в тексте «reportedly»; документировано, что он распорядился убрать тела 2 ноября. Высоту цунами в Лиссабоне по-прежнему не пишем. «Страх перед стенами» и палатки в Ажуде: Wikipedia; «отказывался спать в доме всю жизнь» из слабого источника, не использовано. [PT переписан отдельно по-европейски, не переводом.] [RU добавлен 16.10.2026: рабочий язык для вычитки, на сайте появится после переключателя.]</t>
  </si>
  <si>
    <t>Thousands fled over a bridge made of boats. It gave way.</t>
  </si>
  <si>
    <t>Milhares fugiram por uma ponte de barcos. A ponte cedeu.</t>
  </si>
  <si>
    <t>In March 1809, French troops under Marshal Soult took Porto. In panic, residents fled toward Gaia over the Ponte das Barcas, a floating bridge of boats built in 1806. Chased by soldiers, the crowd packed onto the planks until the bridge gave way. Estimates of the dead run from several hundred to over 4,000.</t>
  </si>
  <si>
    <t>Em março de 1809, as tropas francesas do marechal Soult tomaram o Porto. Em pânico, os moradores fugiram para Gaia pela Ponte das Barcas, uma ponte flutuante de barcaças construída em 1806. Perseguida pelos soldados, a multidão apinhou-se nas tábuas até a ponte ceder. As estimativas dos mortos vão de algumas centenas a mais de 4000.</t>
  </si>
  <si>
    <t>The Ponte das Barcas had 20 barges joined by cables and covered with planks. In Porto it is simply 'the Disaster'.
Its memorial on the Ribeira, the Alminhas da Ponte ('little souls of the bridge'), has had a bronze relief by the sculptor José Joaquim Teixeira Lopes since 1897, and candles are kept burning there. The church of São José das Taipas also serves as a memorial, and every 29 March a Mass is said for the victims. The exact number of dead was never established.</t>
  </si>
  <si>
    <t>A Ponte das Barcas tinha vinte barcaças ligadas por cabos e cobertas de pranchas. No Porto, é simplesmente «o Desastre».
O memorial na Ribeira, as Alminhas da Ponte, tem desde 1897 um baixo-relevo em bronze do escultor José Joaquim Teixeira Lopes, e há sempre velas acesas. A Igreja de São José das Taipas também serve de memorial, e todos os anos, a 29 de março, diz-se missa pelas vítimas. O número exato de mortos nunca foi apurado.</t>
  </si>
  <si>
    <t>Тысячи бежали по мосту из лодок. Он не выдержал.</t>
  </si>
  <si>
    <t>В марте 1809 года французские войска маршала Сульта взяли Порту. В панике жители бросились в сторону Гаи по мосту Понте-даш-Баркаш, плавучему мосту из лодок, построенному в 1806 году. Преследуемая солдатами толпа набилась на доски, пока мост не рухнул. Оценки числа погибших колеблются от нескольких сотен до более чем 4000.</t>
  </si>
  <si>
    <t>У Понте-даш-Баркаш было 20 барж, соединённых канатами и покрытых досками. В Порту её называют просто «Бедствие».
На мемориале на набережной Рибейра, Алминьяш-да-Понте («маленькие души моста»), с 1897 года есть бронзовый барельеф скульптора Жозе Жоакина Тейшейры Лопеша, и там всегда горят свечи. Церковь Сан-Жозе-даш-Тайпаш тоже служит мемориалом, а каждый год 29 марта служат мессу по жертвам. Точное число погибших так и не установили.</t>
  </si>
  <si>
    <t>Запасной крючок: «A ponte era de barcos. O medo era de todos.» ⚠ Формулировка «gave way / ceder»: Infopédia (не выдержала веса толпы); версия «под огнём французов» в документе не подтверждена. ⚠ «No exact count exists»: утверждение автора, подтвердить научной работой (academia.edu 1772346, статья о картине дезастре). [PT написан отдельно по-европейски.] [Перепроверка 16.10.2026] Число погибших в истории было «4000–5000»: слишком уверенно. Wikipedia: точное число неизвестно, обычно ≈4000; DN (Germano Silva): историки от «больших сотен» до более 4000. Теперь «от нескольких сотен до более 4000». Свечи у барельефа и ежегодная месса 29 марта: DN. «Simply the Disaster»: блог Portoalities, слабый источник. Церковь São José das Taipas как место памяти: Wikipedia (останки жертв, картина на Altar das Almas). [RU добавлен 16.10.2026: рабочий язык для вычитки, на сайте появится после переключателя.]</t>
  </si>
  <si>
    <t>Porto rose against the king's minister, shouting 'Long live the king!'</t>
  </si>
  <si>
    <t>O Porto revoltou-se contra o ministro do rei, a gritar «Viva el-Rei!»</t>
  </si>
  <si>
    <t>On Ash Wednesday, 23 February 1757, crowds filled the streets of Porto, shouting for the king and against the new Wine Company. Tavern-keepers saw only a monopoly. People roughed up a judge and wrecked property. Pombal answered with troops and trials. By October, between 14 and 17 people were put to death.</t>
  </si>
  <si>
    <t>Na quarta-feira de cinzas, 23 de fevereiro de 1757, a multidão encheu as ruas do Porto a gritar pelo rei e contra a nova Companhia do vinho. Os taberneiros só viam um monopólio. Agrediram um juiz e destruíram bens. Pombal respondeu com tropas e julgamentos. Em outubro, entre 14 e 17 pessoas foram executadas.</t>
  </si>
  <si>
    <t>In Portuguese the riot is the Motim da Companhia. Troops and martial law followed. Counts of the executed differ, from 14 to 17 in the sources we found; one lists 13 men and four women on 14 October 1757.
Behind the anger lay prices and control: the Company decided who could buy and sell Douro wine, and English traders, Douro growers and Porto's tavern-keepers all had grievances. The Company outlived Pombal by far: its name and trademark are still in use today. How it began, and the stones that marked its borders, are told on another card.</t>
  </si>
  <si>
    <t>Em Portugal, a revolta chama-se Motim da Companhia. Seguiram-se tropas e lei marcial. As contagens dos executados variam, de 14 a 17 nas fontes que encontrámos; uma indica 13 homens e quatro mulheres, a 14 de outubro de 1757.
Por trás da raiva estavam preços e controlo: a Companhia decidia quem comprava e vendia vinho do Douro, e ingleses, lavradores do Douro e taberneiros do Porto tinham queixas. A Companhia sobreviveu muito a Pombal: o nome e a marca ainda se usam hoje. Como tudo começou, e os marcos que lhe delimitaram a região, contam-se noutro cartão.</t>
  </si>
  <si>
    <t>Порту восстал против министра, крича «Да здравствует король!»</t>
  </si>
  <si>
    <t>В пепельную среду, 23 февраля 1757 года, толпы заполнили улицы Порту с криками в защиту короля и против новой Винной компании. Хозяева таверн видели в ней только монополию. Избили судью и разгромили имущество. Помбал ответил войсками и судами. К октябрю от 14 до 17 человек были казнены.</t>
  </si>
  <si>
    <t>По-португальски бунт называется Motim da Companhia. Затем пришли войска и военное положение. Число казнённых расходится: от 14 до 17 в найденных нами источниках, один перечисляет 13 мужчин и четырёх женщин 14 октября 1757 года.
За гневом стояли цены и контроль: Компания решала, кто может покупать и продавать вино Дору, и англичане, виноделы Дору и хозяева таверн Порту имели претензии. Компания пережила Помбала намного: её название и торговая марка в ходу до сих пор. Как всё началось и какие камни отметили её границы, рассказано в другой карточке.</t>
  </si>
  <si>
    <t>Лозунг взят из научной статьи (UP): «Viva el-Rei! Morra a Companhia!». Запасной крючок: «Gritavam pelo rei e contra a Companhia do rei.» (игра: компанию создал министр короля). ⚠ Дата 23 февраля = Пепельная среда (UP). Цифры казней из блога, перепроверить. [PT написан отдельно по-европейски.] [Перепроверка 16.10.2026] АНАХРОНИЗМ исправлен: в 1756 он ещё не маркиз («the future Marquis of Pombal»). Число казнённых: 17 (13 м., 4 ж.) только в блоге Executed Today, в слайде UMN 14 повешенных и 400 сосланных или осуждённых: в тексте диапазон 14–17, пока нет Ribeiro da Silva. Фраза про «первую демаркированную зону» перенесена из истории в «Подробнее» (в источниках звучит как «часто называют»). Основание Компании: 10.09.1756 (сайт RCV). [RU добавлен 16.10.2026: рабочий язык для вычитки, на сайте появится после переключателя.]</t>
  </si>
  <si>
    <t>After Russia, about a hundred of Napoleon's Portuguese Legion were left.</t>
  </si>
  <si>
    <t>Depois da Rússia, restavam uns cem homens da Legião de Napoleão.</t>
  </si>
  <si>
    <t>In 1808 the French occupiers disbanded Portugal's army, then built a legion from its units. About 9,000 men, led by the Marquis of Alorna, marched off to France as the Portuguese Legion. They fought at Wagram in 1809 and in 1812 went to Russia, to Smolensk and Borodino. By 1813 only about a hundred were left.</t>
  </si>
  <si>
    <t>Em 1808, os ocupantes franceses dissolveram o exército português e formaram uma legião com as suas unidades. Cerca de 9000 homens, comandados pelo marquês de Alorna, partiram para França como Legião Portuguesa. Combateram em Wagram, em 1809, e em 1812 foram para a Rússia, a Smolensk e a Borodino. Em 1813, restavam apenas uns cem.</t>
  </si>
  <si>
    <t>The Legion was organised from February 1808 and left for Spain in April; a decree of 5 May made it official. In 1810 sixty of its men received the Legion of Honour. Its second-in-command, Gomes Freire de Andrade, had earlier served in Catherine II's Russian army. After Russia the survivors fought at Lützen and Bautzen, and when Napoleon dissolved the 'foreign' armies in November 1813, the rest joined French engineer units. Sources put the Legion's size at 8,000 to 12,000, and differ on its losses and on how willingly its men served. Its commander, the Marquis of Alorna, died at Königsberg.</t>
  </si>
  <si>
    <t>A Legião foi organizada a partir de fevereiro de 1808 e partiu para Espanha em abril; um decreto de 5 de maio tornou-a oficial. Em 1810, sessenta dos seus homens receberam a Legião de Honra. O segundo-comandante, Gomes Freire de Andrade, servira antes no exército russo de Catarina II. Depois da Rússia, os sobreviventes combateram em Lützen e Bautzen, e quando Napoleão dissolveu os exércitos «estrangeiros», em novembro de 1813, os restantes foram integrados em corpos de sapadores franceses. As fontes dão à Legião entre 8000 e 12 000 homens e divergem quanto às perdas e à vontade com que os homens serviram. O comandante, o marquês de Alorna, morreu em Königsberg.</t>
  </si>
  <si>
    <t>Из португальского легиона Наполеона после России осталась примерно сотня.</t>
  </si>
  <si>
    <t>В 1808 году французские оккупанты распустили португальскую армию, а затем набрали из её частей легион. Около 9000 человек под командованием маркиза д’Алорна отправились во Францию как Португальский легион. Они сражались при Ваграме в 1809 году, а в 1812 году ушли в Россию, под Смоленск и Бородино. К 1813 году в строю осталось около ста человек.</t>
  </si>
  <si>
    <t>Легион был организован с февраля 1808 года и выступил в Испанию в апреле; декрет от 5 мая сделал его официальным. В 1810 году шестьдесят его солдат получили орден Почётного легиона. Его заместитель, Гомеш Фрейре де Андраде, раньше служил в русской армии Екатерины II. После России уцелевшие сражались при Лютцене и Баутцене, а когда Наполеон в ноябре 1813 года распустил «иностранные» армии, остальные влились во французские сапёрные части. Источники оценивают размер Легиона от 8000 до 12 000 человек и расходятся в оценке потерь и в том, насколько охотно служили его люди. Его командир, маркиз д’Алорна, умер в Кёнигсберге.</t>
  </si>
  <si>
    <t>Запасной крючок: «Portugal tinha dois exércitos em 1812: um contra Napoleão, outro com ele.» ⚠ Выражение «best units»: Wikipedia («the best units of the disbanded Portuguese Army»). «Выжившие»: Infopédia пишет о ~100 в 1813, не о возвращении из России: в тексте так и сказано. Исправление к списку: «из России вернулось несколько сотен» не подтвердилось. [PT написан отдельно по-европейски.] [Перепроверка 16.10.2026] Размер Легиона: 9000 (Wikipedia, Lemos Pires), 8000 (weaponsandwarfare), 12 000 (Observador): в тексте диапазон. Смерть Алорны в Кёнигсберге: работа Lemos Pires со ссылкой на Boppe (1897), второго источника нет. «60 крестов Почётного легиона» из Infopédia: в моих проверках не открывалось, пометка остаётся. [RU добавлен 16.10.2026: рабочий язык для вычитки, на сайте появится после переключателя.]</t>
  </si>
  <si>
    <t>Title EN</t>
  </si>
  <si>
    <t>Título PT</t>
  </si>
  <si>
    <t>Slug EN</t>
  </si>
  <si>
    <t>Slug PT</t>
  </si>
  <si>
    <t>Подпись года EN</t>
  </si>
  <si>
    <t>Подпись года PT</t>
  </si>
  <si>
    <t>Место события</t>
  </si>
  <si>
    <t>lat</t>
  </si>
  <si>
    <t>lon</t>
  </si>
  <si>
    <t>Мост в сегодня: название</t>
  </si>
  <si>
    <t>Адрес</t>
  </si>
  <si>
    <t>Сайт объекта</t>
  </si>
  <si>
    <t>Координаты проверены</t>
  </si>
  <si>
    <t>Title RU</t>
  </si>
  <si>
    <t>Slug RU (латиницей)</t>
  </si>
  <si>
    <t>Подпись года RU</t>
  </si>
  <si>
    <t>A Map Worth 12 Ducats</t>
  </si>
  <si>
    <t>Um mapa por 12 ducados</t>
  </si>
  <si>
    <t>cantino-map</t>
  </si>
  <si>
    <t>mapa-de-cantino</t>
  </si>
  <si>
    <t>Lisboa</t>
  </si>
  <si>
    <t>Praça do Império, Belém, Lisboa</t>
  </si>
  <si>
    <t>https://cultura.marinha.pt/en/museumarinha_web/colecoes_web/pecasemdestaque_web/Pages/mapa-cantino.aspx</t>
  </si>
  <si>
    <t>Карта за 12 дукатов</t>
  </si>
  <si>
    <t>karta-za-12-dukatov</t>
  </si>
  <si>
    <t>The Rhino and the Elephant</t>
  </si>
  <si>
    <t>O rinoceronte e o elefante</t>
  </si>
  <si>
    <t>rhino-and-elephant</t>
  </si>
  <si>
    <t>rinoceronte-e-elefante</t>
  </si>
  <si>
    <t>Lisboa, Paço da Ribeira (hoje Praça do Comércio)</t>
  </si>
  <si>
    <t>Av. Brasília, Lisboa</t>
  </si>
  <si>
    <t>TODO</t>
  </si>
  <si>
    <t>nosorog-i-slon</t>
  </si>
  <si>
    <t>The Tripe-Eaters of Porto</t>
  </si>
  <si>
    <t>Os tripeiros</t>
  </si>
  <si>
    <t>tripe-eaters-of-porto</t>
  </si>
  <si>
    <t>tripeiros</t>
  </si>
  <si>
    <t>Porto, estaleiros do Douro</t>
  </si>
  <si>
    <t>TODO (junto aos antigos estaleiros do Ouro, Porto)</t>
  </si>
  <si>
    <t>https://porto.pt/en/news/let_s_talk_about_food_</t>
  </si>
  <si>
    <t>Любители потрохов из Порту</t>
  </si>
  <si>
    <t>lyubiteli-potrohov-iz-portu</t>
  </si>
  <si>
    <t>The War of the Oranges</t>
  </si>
  <si>
    <t>A Guerra das Laranjas</t>
  </si>
  <si>
    <t>war-of-the-oranges</t>
  </si>
  <si>
    <t>guerra-das-laranjas</t>
  </si>
  <si>
    <t>May–June 1801</t>
  </si>
  <si>
    <t>maio–junho de 1801</t>
  </si>
  <si>
    <t>Alto Alentejo: Elvas, Campo Maior, Olivença</t>
  </si>
  <si>
    <t>TODO (ponto de visita em Elvas)</t>
  </si>
  <si>
    <t>Апельсиновая война</t>
  </si>
  <si>
    <t>apelsinovaya-voyna</t>
  </si>
  <si>
    <t>Май–июнь 1801</t>
  </si>
  <si>
    <t>The House of Snow</t>
  </si>
  <si>
    <t>A Casa da Neve</t>
  </si>
  <si>
    <t>house-of-snow</t>
  </si>
  <si>
    <t>casa-da-neve</t>
  </si>
  <si>
    <t>1778 or 1782</t>
  </si>
  <si>
    <t>1778 ou 1782</t>
  </si>
  <si>
    <t>Lisboa, arcadas do Terreiro do Paço (hoje Praça do Comércio)</t>
  </si>
  <si>
    <t>Café Martinho da Arcada</t>
  </si>
  <si>
    <t>Praça do Comércio 3, 1100-148 Lisboa</t>
  </si>
  <si>
    <t>http://www.martinhodaarcada.pt</t>
  </si>
  <si>
    <t>Дом снега</t>
  </si>
  <si>
    <t>dom-snega</t>
  </si>
  <si>
    <t>1778 или 1782</t>
  </si>
  <si>
    <t>Stones to Guard the Wine</t>
  </si>
  <si>
    <t>Pedras para guardar o vinho</t>
  </si>
  <si>
    <t>douro-wine-1756</t>
  </si>
  <si>
    <t>vinho-do-douro-1756</t>
  </si>
  <si>
    <t>Vale do Douro (Alto Douro)</t>
  </si>
  <si>
    <t>17•56 Museu &amp; Enoteca da Real Companhia Velha (Cais de Gaia)</t>
  </si>
  <si>
    <t>Alameda da Rua Serpa Pinto 44B, Vila Nova de Gaia</t>
  </si>
  <si>
    <t>https://realcompanhiavelha.pt/en/caves/</t>
  </si>
  <si>
    <t>vino-douro-1756</t>
  </si>
  <si>
    <t>The Day the Elephants Turned Around</t>
  </si>
  <si>
    <t>O dia em que os elefantes deram meia-volta</t>
  </si>
  <si>
    <t>elephants-of-malacca</t>
  </si>
  <si>
    <t>elefantes-em-malaca</t>
  </si>
  <si>
    <t>25 July 1511</t>
  </si>
  <si>
    <t>25 de julho de 1511</t>
  </si>
  <si>
    <t>Malaca (Melaka), ponte sobre o rio</t>
  </si>
  <si>
    <t>Monumento a Afonso de Albuquerque (Praça Afonso de Albuquerque, Belém)</t>
  </si>
  <si>
    <t>Praça Afonso de Albuquerque, Belém, Lisboa</t>
  </si>
  <si>
    <t>День, когда слоны повернули назад</t>
  </si>
  <si>
    <t>den-kogda-slony-povernuli-nazad</t>
  </si>
  <si>
    <t>25 июля 1511</t>
  </si>
  <si>
    <t>The Lines of Torres Vedras</t>
  </si>
  <si>
    <t>As Linhas de Torres Vedras</t>
  </si>
  <si>
    <t>lines-of-torres-vedras</t>
  </si>
  <si>
    <t>linhas-de-torres-vedras</t>
  </si>
  <si>
    <t>11 October 1810</t>
  </si>
  <si>
    <t>11 de outubro de 1810</t>
  </si>
  <si>
    <t>Sobral de Monte Agraço (primeira linha)</t>
  </si>
  <si>
    <t>Centro de Interpretação das Linhas de Torres Vedras (Forte de São Vicente)</t>
  </si>
  <si>
    <t>Forte de São Vicente, 2560-629 Torres Vedras</t>
  </si>
  <si>
    <t>https://www.rhlt.pt/?p=2685</t>
  </si>
  <si>
    <t>Линии Торриш-Ведраш</t>
  </si>
  <si>
    <t>linii-torrish-vedrash</t>
  </si>
  <si>
    <t>11 октября 1810</t>
  </si>
  <si>
    <t>The Battle of Aljubarrota</t>
  </si>
  <si>
    <t>Batalha de Aljubarrota</t>
  </si>
  <si>
    <t>battle-of-aljubarrota</t>
  </si>
  <si>
    <t>batalha-de-aljubarrota</t>
  </si>
  <si>
    <t>14 August 1385</t>
  </si>
  <si>
    <t>14 de agosto de 1385</t>
  </si>
  <si>
    <t>Planalto de São Jorge, Aljubarrota</t>
  </si>
  <si>
    <t>https://fundacao-aljubarrota.pt/</t>
  </si>
  <si>
    <t>Битва при Алжубарроте</t>
  </si>
  <si>
    <t>bitva-pri-alzhubarrote</t>
  </si>
  <si>
    <t>14 августа 1385</t>
  </si>
  <si>
    <t>The Lisbon Earthquake</t>
  </si>
  <si>
    <t>O terramoto de 1755</t>
  </si>
  <si>
    <t>lisbon-earthquake</t>
  </si>
  <si>
    <t>terramoto-de-lisboa</t>
  </si>
  <si>
    <t>1 November 1755</t>
  </si>
  <si>
    <t>1 de novembro de 1755</t>
  </si>
  <si>
    <t>Museu Arqueológico do Carmo (ruínas do Convento do Carmo)</t>
  </si>
  <si>
    <t>Largo do Carmo, 1200-092 Lisboa</t>
  </si>
  <si>
    <t>https://museuarqueologicodocarmo.pt/</t>
  </si>
  <si>
    <t>Лиссабонское землетрясение</t>
  </si>
  <si>
    <t>lissabonskoe-zemletryasenie</t>
  </si>
  <si>
    <t>1 ноября 1755</t>
  </si>
  <si>
    <t>The Bridge of Boats</t>
  </si>
  <si>
    <t>A Ponte das Barcas</t>
  </si>
  <si>
    <t>bridge-of-boats</t>
  </si>
  <si>
    <t>ponte-das-barcas</t>
  </si>
  <si>
    <t>29 March 1809</t>
  </si>
  <si>
    <t>29 de março de 1809</t>
  </si>
  <si>
    <t>Porto, Ribeira, entre o Porto e Gaia</t>
  </si>
  <si>
    <t>TODO (Ribeira, Porto)</t>
  </si>
  <si>
    <t>Мост из лодок</t>
  </si>
  <si>
    <t>most-iz-lodok</t>
  </si>
  <si>
    <t>29 марта 1809</t>
  </si>
  <si>
    <t>Death to the Company!</t>
  </si>
  <si>
    <t>Morra a Companhia!</t>
  </si>
  <si>
    <t>death-to-the-company</t>
  </si>
  <si>
    <t>morra-a-companhia</t>
  </si>
  <si>
    <t>23 February 1757</t>
  </si>
  <si>
    <t>23 de fevereiro de 1757</t>
  </si>
  <si>
    <t>Porto</t>
  </si>
  <si>
    <t>Смерть Компании!</t>
  </si>
  <si>
    <t>smert-kompanii</t>
  </si>
  <si>
    <t>23 февраля 1757</t>
  </si>
  <si>
    <t>Portuguese in Napoleon's Army</t>
  </si>
  <si>
    <t>Portugueses no exército de Napoleão</t>
  </si>
  <si>
    <t>portuguese-legion</t>
  </si>
  <si>
    <t>legiao-portuguesa</t>
  </si>
  <si>
    <t>1812</t>
  </si>
  <si>
    <t>Borodino, Rússia</t>
  </si>
  <si>
    <t>Португальцы в армии Наполеона</t>
  </si>
  <si>
    <t>portugaltsy-v-armii-napoleona</t>
  </si>
  <si>
    <t>id карточки</t>
  </si>
  <si>
    <t>Файл (src)</t>
  </si>
  <si>
    <t>Alt PT</t>
  </si>
  <si>
    <t>Alt EN</t>
  </si>
  <si>
    <t>Подпись PT</t>
  </si>
  <si>
    <t>Подпись EN</t>
  </si>
  <si>
    <t>Автор</t>
  </si>
  <si>
    <t>Лицензия</t>
  </si>
  <si>
    <t>Ссылка (Commons и т. п.)</t>
  </si>
  <si>
    <t>Лицензия проверена</t>
  </si>
  <si>
    <t>Alt RU</t>
  </si>
  <si>
    <t>Подпись RU</t>
  </si>
  <si>
    <t>/img/tripeiros-1415.webp</t>
  </si>
  <si>
    <t>Ilustração ao estilo do azulejo azul e branco: gente do Porto leva presuntos e enchidos para um navio, enquanto uma mulher segura um tacho de tripas com feijão para a família.</t>
  </si>
  <si>
    <t>Blue-and-white azulejo-style illustration: townspeople of Porto carry hams and sausages to a ship, while a woman holds a pot of tripe and beans for her family.</t>
  </si>
  <si>
    <t>Ilustração criada por IA, a partir da lenda dos tripeiros. Não é uma imagem histórica.</t>
  </si>
  <si>
    <t>AI-generated illustration based on the tripeiros legend. Not a historical image.</t>
  </si>
  <si>
    <t>ИИ (Gemini), 2026</t>
  </si>
  <si>
    <t>AI-generated, terms TBD</t>
  </si>
  <si>
    <t>промпт: img/prompts.md, раздел tripeiros-1415</t>
  </si>
  <si>
    <t>Иллюстрация в духе сине-белого азулежу: жители Порту несут окорока и колбасы на корабль, а женщина держит горшок с рубцом и фасолью для своей семьи.</t>
  </si>
  <si>
    <t>Иллюстрация, созданная ИИ по легенде о трипейруш. Не историческое изображение.</t>
  </si>
  <si>
    <t>/img/guerra-laranjas-1801.webp</t>
  </si>
  <si>
    <t>Ilustração ao estilo do azulejo azul e branco: um general espanhol de chapéu armado entrega um raminho de flor de laranjeira a um jovem cavaleiro perplexo, enquanto soldados entediados observam; ao fundo, uma fortaleza numa colina.</t>
  </si>
  <si>
    <t>Blue-and-white azulejo-style illustration: a Spanish general in a bicorne hat hands a sprig of orange blossom to a puzzled young rider while bored soldiers look on, with a fortress on a hill behind.</t>
  </si>
  <si>
    <t>Ilustração criada por IA, a partir da tradição da «Guerra das Laranjas». Não é uma imagem histórica.</t>
  </si>
  <si>
    <t>AI-generated illustration based on the 'War of the Oranges' tradition. Not a historical image.</t>
  </si>
  <si>
    <t>промпт: img/prompts.md, раздел guerra-laranjas-1801</t>
  </si>
  <si>
    <t>Иллюстрация в духе сине-белого азулежу: испанский генерал в треуголке протягивает веточку апельсинового цвета растерянному молодому всаднику, а скучающие солдаты наблюдают; на заднем плане крепость на холме.</t>
  </si>
  <si>
    <t>Иллюстрация, созданная ИИ по преданию об «Апельсиновой войне». Не историческое изображение.</t>
  </si>
  <si>
    <t>Planisfério de Cantino, 1502: mapa-múndi português com a linha de Tordesilhas e a costa do Brasil.</t>
  </si>
  <si>
    <t>Cantino planisphere, 1502: Portuguese world map showing the Tordesillas line and the coast of Brazil.</t>
  </si>
  <si>
    <t>Planisfério de Cantino, 1502. Biblioteca Estense, Módena.</t>
  </si>
  <si>
    <t>Cantino planisphere, 1502. Biblioteca Estense, Modena.</t>
  </si>
  <si>
    <t>Autor desconhecido (Lisboa, 1502); original na Biblioteca Estense, Módena</t>
  </si>
  <si>
    <t>Public domain (PD-scan, Wikimedia Commons)</t>
  </si>
  <si>
    <t>https://commons.wikimedia.org/wiki/File:Cantino_planisphere_(1502).jpg</t>
  </si>
  <si>
    <t>частично</t>
  </si>
  <si>
    <t>Планисфера Кантино, 1502: португальская карта мира с линией Тордесильяса и побережьем Бразилии.</t>
  </si>
  <si>
    <t>Планисфера Кантино, 1502. Библиотека Эстенсе, Модена.</t>
  </si>
  <si>
    <t>Xilogravura de Albrecht Dürer, 1515: um rinoceronte de perfil, coberto de placas, com um corno a mais no ombro.</t>
  </si>
  <si>
    <t>Albrecht Dürer's 1515 woodcut: a rhinoceros in profile, covered in plates, with an extra small horn on its shoulder.</t>
  </si>
  <si>
    <t>Albrecht Dürer, Rinoceronte, 1515. Xilogravura.</t>
  </si>
  <si>
    <t>Albrecht Dürer, Rhinoceros, 1515. Woodcut.</t>
  </si>
  <si>
    <t>Albrecht Dürer, 1515</t>
  </si>
  <si>
    <t>Public domain (Cleveland Museum of Art Open Access; Commons PD-Art)</t>
  </si>
  <si>
    <t>https://www.clevelandart.org/art/1993.9</t>
  </si>
  <si>
    <t>Гравюра на дереве Альбрехта Дюрера, 1515: носорог в профиль, покрытый пластинами, с маленьким лишним рогом на плече.</t>
  </si>
  <si>
    <t>Альбрехт Дюрер, «Носорог», 1515. Ксилография.</t>
  </si>
  <si>
    <t>Gravura em cobre de 1755: Lisboa em ruínas e em chamas, com o tsunami a atingir o cais e navios em perigo no porto.</t>
  </si>
  <si>
    <t>Copper engraving of 1755: Lisbon in ruins and flames, with the tsunami striking the quay and ships in distress in the harbour.</t>
  </si>
  <si>
    <t>Gravura de 1755, autor desconhecido. Original no Museu da Cidade, Lisboa.</t>
  </si>
  <si>
    <t>1755 engraving, artist unknown. Original in the Museu da Cidade, Lisbon.</t>
  </si>
  <si>
    <t>Autor desconhecido, 1755</t>
  </si>
  <si>
    <t>Public domain (Wikimedia Commons)</t>
  </si>
  <si>
    <t>https://commons.wikimedia.org/wiki/File:1755_Lisbon_earthquake.jpg</t>
  </si>
  <si>
    <t>Медная гравюра 1755 года: Лиссабон в руинах и пламени, цунами бьёт по набережной, корабли в бедственном положении в гавани.</t>
  </si>
  <si>
    <t>Гравюра 1755 года, автор неизвестен. Оригинал в Музее города, Лиссабон.</t>
  </si>
  <si>
    <t>Gaspar Correia, desenho «Malaca», c. 1546 (Lendas da Índia), Torre do Tombo</t>
  </si>
  <si>
    <t>Оригинал общественное достояние; снимок архива и файл на Commons проверить</t>
  </si>
  <si>
    <t>https://artsandculture.google.com/asset/UAEBttK6SJXIgA</t>
  </si>
  <si>
    <t>Карта линий Торреш-Ведраш, рукопись 1810 г., Clements Library (Мичиган)</t>
  </si>
  <si>
    <t>Оригинал 1810 г. старше любого срока охраны; библиотека пишет общую оговорку, уточнить</t>
  </si>
  <si>
    <t>https://quod.lib.umich.edu/w/wcl1ic/x-8824/wcl008901</t>
  </si>
  <si>
    <t>Народная гравюра катастрофы 1809 г. (Museu Nacional Soares dos Reis); есть также картина маслом по меди, приписываемая António da Cunha</t>
  </si>
  <si>
    <t>Оригинал начала XIX в.; права на снимок музея проверить</t>
  </si>
  <si>
    <t>https://museusoaresdosreis.gov.pt/colecao/ponte-das-barcas-disaster/?lang=en</t>
  </si>
  <si>
    <t>Миниатюра из хроник Froissart (BnF, fr. 2643, f. 72), XV в.</t>
  </si>
  <si>
    <t>Public domain (PD-Art, Wikimedia Commons)</t>
  </si>
  <si>
    <t>Найти файл на странице Battle of Aljubarrota в Wikipedia (имя файла на Commons уточнить)</t>
  </si>
  <si>
    <t>Название (автор, заглавие, страница)</t>
  </si>
  <si>
    <t>URL</t>
  </si>
  <si>
    <t>Тип</t>
  </si>
  <si>
    <t>Дата доступа</t>
  </si>
  <si>
    <t>Что подтверждает</t>
  </si>
  <si>
    <t>Заметка о надёжности</t>
  </si>
  <si>
    <t>Early depictions of the first Lisbon rhinoceros in the 16th century (Pachyderm, DOI 10.69649/pachyderm.v65i.1312)</t>
  </si>
  <si>
    <t>https://pachydermjournal.org/index.php/pachyderm/article/view/1312</t>
  </si>
  <si>
    <t>academic</t>
  </si>
  <si>
    <t>2026-10-14</t>
  </si>
  <si>
    <t>Прибытие 20 мая 1515, бой 3 июня 1515, дар папе, Дюрер</t>
  </si>
  <si>
    <t>нашли</t>
  </si>
  <si>
    <t>University of Warwick, press release on Giorgio Riello's research on Ganda: «How the Pope's rhino drowned»</t>
  </si>
  <si>
    <t>https://warwick.ac.uk/news/pressreleases/how_the_popes/</t>
  </si>
  <si>
    <t>institutional</t>
  </si>
  <si>
    <t>Дар от Кембая, бой, бегство слона, Дюрер по письмам купцов</t>
  </si>
  <si>
    <t>Пресс-релиз университета об исследовании Риелло.</t>
  </si>
  <si>
    <t>Google Arts &amp; Culture / DGPC: Bartizan depicting a rhinoceros, Tower of Belém (формулировка «possibly»)</t>
  </si>
  <si>
    <t>https://artsandculture.google.com/story/the-lisbon-rhinoceros-tower-of-belém/fAWhMvHAdydLLw?hl=en-GB</t>
  </si>
  <si>
    <t>Мост в сегодня: носорог на башенке башни Белен (формулировка «possibly»)</t>
  </si>
  <si>
    <t>Сайт DGPC через Google Arts &amp; Culture: осторожная формулировка.</t>
  </si>
  <si>
    <t>Fundação Batalha de Aljubarrota, painel «The Battle»: composição das forças, baixas, formação</t>
  </si>
  <si>
    <t>https://fundacao-aljubarrota.pt/panel-d/</t>
  </si>
  <si>
    <t>7 000 против 31–44 тыс. (≈10 тыс. в бою), потери, «не квадрат», падеира</t>
  </si>
  <si>
    <t>Музейный фонд, ссылается на хронистов и историков. Не первоисточник.</t>
  </si>
  <si>
    <t>Diário de Notícias: «Vitória em Aljubarrota não é graças ao quadrado que não existe» (sobre o livro «Aljubarrota», Desassossego)</t>
  </si>
  <si>
    <t>https://www.dn.pt/edicao-impressa/vitória-em-aljubarrota-não-é-graças-ao-quadrado-que-não-existe-nem-seria-necessário</t>
  </si>
  <si>
    <t>press</t>
  </si>
  <si>
    <t>Миф о «квадрате», падеира только с XVI века</t>
  </si>
  <si>
    <t>Газетная статья по книге историков. Найти саму книгу.</t>
  </si>
  <si>
    <t>WarHistory.org, «The Battle of Aljubarrota 1385 AD» (⚠ divulgação, só para a cifra ~18 000; substituir por obra académica)</t>
  </si>
  <si>
    <t>https://warhistory.org/%40msw/article/the-battle-of-aljubarrota-1385-ad</t>
  </si>
  <si>
    <t>reference</t>
  </si>
  <si>
    <t>Только цифра ≈18 000 кастильцев</t>
  </si>
  <si>
    <t>Слабый (научно-популярный сайт). Заменить научной работой.</t>
  </si>
  <si>
    <t>The Atlantic Tsunami on November 1st, 1755: World Range and Amplitude According to Primary Documentary Sources (InTech)</t>
  </si>
  <si>
    <t>https://cdn.intechopen.com/pdfs/13093/InTech-The_atlantic_tsunami_on_november_1st_1755_world_range_and_amplitude_according_to_primary_documentary_sources.pdf</t>
  </si>
  <si>
    <t>Высоты волн по первичным документам: старые цифры (14–16 м в Танжере) отвергнуты</t>
  </si>
  <si>
    <t>Museu Arqueológico do Carmo, folheto (EN): história do edifício e do terramoto</t>
  </si>
  <si>
    <t>https://museuarqueologicodocarmo.pt/mac/folhetoMAC_EN.pdf</t>
  </si>
  <si>
    <t>Руины Карму, реконструкция остановлена в 1834</t>
  </si>
  <si>
    <t>Wikipedia, 1755 Lisbon earthquake (⚠ só como ponteiro para Pereira, 40 min até ao tsunami, 09:40; substituir)</t>
  </si>
  <si>
    <t>https://en.wikipedia.org/wiki/1755_Lisbon_earthquake</t>
  </si>
  <si>
    <t>Указатель на Перейру, 09:40, 40 минут до цунами</t>
  </si>
  <si>
    <t>Справочник. Только как указатель, заменить Перейрой.</t>
  </si>
  <si>
    <t>Первоисточник XVI в. с описанием боя (письмо или хроника)</t>
  </si>
  <si>
    <t>primary</t>
  </si>
  <si>
    <t>Метка documented и причина бегства слона</t>
  </si>
  <si>
    <t>искать</t>
  </si>
  <si>
    <t>Книга Giorgio Riello о носороге Ганде (название уточнить)</t>
  </si>
  <si>
    <t>Общая сводка</t>
  </si>
  <si>
    <t>The Rhinoceros from Dürer to Stubbs 1515–1799 (автора уточнить)</t>
  </si>
  <si>
    <t>История образа</t>
  </si>
  <si>
    <t>Fernão Lopes, Crónica de D. João I</t>
  </si>
  <si>
    <t>Ход боя, часы, числа хрониста</t>
  </si>
  <si>
    <t>João Gouveia Monteiro: научная работа об Алжубарроту (уточнить)</t>
  </si>
  <si>
    <t>Оценки сил сторон</t>
  </si>
  <si>
    <t>Álvaro S. Pereira: статья об экономических последствиях (найти полный текст)</t>
  </si>
  <si>
    <t>Число погибших</t>
  </si>
  <si>
    <t>Высота цунами в Лиссабоне: академический источник</t>
  </si>
  <si>
    <t>Пока числа в тексте нет</t>
  </si>
  <si>
    <t>Кант и Вольтер о землетрясении: научная публикация</t>
  </si>
  <si>
    <t>Подтвердить «три текста Канта»</t>
  </si>
  <si>
    <t>Свидетельства очевидцев (письма, дневники 1755 г.)</t>
  </si>
  <si>
    <t>Живая деталь для истории</t>
  </si>
  <si>
    <t>Wikipedia: Cantino planisphere</t>
  </si>
  <si>
    <t>https://en.wikipedia.org/wiki/Cantino_planisphere</t>
  </si>
  <si>
    <t>2026-10-15</t>
  </si>
  <si>
    <t>Прикрытие (торговля лошадьми), 12 дукатов, вывоз в 1502, 1859: дворец разграблен, карту нашёл директор библиотеки</t>
  </si>
  <si>
    <t>Справочник: только указатель.</t>
  </si>
  <si>
    <t>National Geographic History: The Cantino Planisphere</t>
  </si>
  <si>
    <t>https://www.nationalgeographic.com/history/history-magazine/article/cantino-planisphere-map-new-world-portugal</t>
  </si>
  <si>
    <t>Версии получения карты расходятся; линия Тордесильяс; нашли в мясной лавке (по этому источнику через несколько лет после кражи)</t>
  </si>
  <si>
    <t>Научно-популярный журнал. Расхождение с Wikipedia по срокам.</t>
  </si>
  <si>
    <t>Museu de Marinha: Planisfério de Cantino (cópia)</t>
  </si>
  <si>
    <t>Копия в Лиссабоне (инв. MM.06307), автор неизвестен, подкуп картографа как предположение</t>
  </si>
  <si>
    <t>Музей. Мост в сегодня; проверить, выставлена ли копия.</t>
  </si>
  <si>
    <t>Gregory C. McIntosh: The Cantino Planisphere of 1502 (MEDEA)</t>
  </si>
  <si>
    <t>https://www.medea-chart.org/single-post/2018/02/21/The-Cantino-Planisphere-of-1502-by-Gregory-C-McIntosh</t>
  </si>
  <si>
    <t>Деньги ушли неизвестному португальскому чиновнику (12 венецианских дукатов), хронология 1501–02</t>
  </si>
  <si>
    <t>Найти печатную работу автора.</t>
  </si>
  <si>
    <t>Biblioteca Estense / Historylab: Cantino planisphere</t>
  </si>
  <si>
    <t>https://historylab.es/cantino-planisphere/</t>
  </si>
  <si>
    <t>Линия Тордесильяс, копия «Padrão Real», запрет вывоза карт</t>
  </si>
  <si>
    <t>Учебный ресурс на основе фонда библиотеки.</t>
  </si>
  <si>
    <t>Письма Кантино герцогу Эрколе д'Эсте (Archivio di Stato di Modena)</t>
  </si>
  <si>
    <t>Цена, обстоятельства покупки, дата вывоза</t>
  </si>
  <si>
    <t>Первоисточник.</t>
  </si>
  <si>
    <t>Научная работа о планисфере Кантино (комментарий к факсимиле или статья; название уточнить)</t>
  </si>
  <si>
    <t>Как карта попала к Кантино; точная хронология находки в 1859</t>
  </si>
  <si>
    <t>Infopédia: Lenda dos Tripeiros</t>
  </si>
  <si>
    <t>https://www.infopedia.pt/artigos/$lenda-dos-tripeiros</t>
  </si>
  <si>
    <t>Текст легенды: 1415, верфи на Дору, мастер Васко, прозвище «tripeiros» (в этой версии уже тридцатилетней давности)</t>
  </si>
  <si>
    <t>Энциклопедия пересказывает предание, не историю.</t>
  </si>
  <si>
    <t>Living Tours: Tales &amp; Traditions, The Origin of the Nickname «Tripeiro»</t>
  </si>
  <si>
    <t>https://www.livingtours.com/en/blog/origen-apodo-tripeiro-oporto.html</t>
  </si>
  <si>
    <t>Памятник 1960 г. работы Лагоа Энрикеша у старых верфей, надпись «À Grei»</t>
  </si>
  <si>
    <t>Блог туркомпании: заменить сайтом муниципалитета или музея.</t>
  </si>
  <si>
    <t>Câmara Municipal do Porto (porto.pt): Let's talk about food!</t>
  </si>
  <si>
    <t>Предание о флоте 1415 как традиция; панно Жорже Колашу в Сан-Бенту о взятии Сеуты</t>
  </si>
  <si>
    <t>Официальный портал города, пересказывает предание.</t>
  </si>
  <si>
    <t>Wikipedia: Tripas à moda do Porto</t>
  </si>
  <si>
    <t>https://en.wikipedia.org/wiki/Tripas_%C3%A0_moda_do_Porto</t>
  </si>
  <si>
    <t>Блюдо, верфь в Лордело-ду-Оуру, ссылка на Infopédia</t>
  </si>
  <si>
    <t>Postal: Tripas à moda do Porto, um prato tradicional com alma portuense</t>
  </si>
  <si>
    <t>https://postal.pt/nacional/tripas-a-moda-do-porto-um-prato-tradicional-com-alma-portuense/</t>
  </si>
  <si>
    <t>Состав блюда; «история или легенды в сторону»</t>
  </si>
  <si>
    <t>Портал о путешествиях.</t>
  </si>
  <si>
    <t>Zurara, Crónica da Tomada de Ceuta: есть ли там эпизод с мясом Порту</t>
  </si>
  <si>
    <t>Проверить, упоминает ли хроника вклад Порту в снаряжение флота</t>
  </si>
  <si>
    <t>В списке Gemini стояла эта ссылка: не подтверждена.</t>
  </si>
  <si>
    <t>Научная работа о происхождении прозвища «tripeiros» (название уточнить)</t>
  </si>
  <si>
    <t>Когда появилось прозвище и откуда легенда</t>
  </si>
  <si>
    <t>Муниципалитет Порту: страница памятника Лагоа Энрикеша (название, адрес, координаты)</t>
  </si>
  <si>
    <t>Мост в сегодня</t>
  </si>
  <si>
    <t>EBSCO Research Starters: Melaka Falls to the Portuguese</t>
  </si>
  <si>
    <t>https://www.ebsco.com/research-starters/history/melaka-falls-portuguese</t>
  </si>
  <si>
    <t>Султан выпустил слонов; португалец ударил копьём в глаз передового, раненый слон отступил с рёвом</t>
  </si>
  <si>
    <t>Энциклопедический обзор.</t>
  </si>
  <si>
    <t>New Straits Times: Courage and perseverance in the face of adversity</t>
  </si>
  <si>
    <t>https://www.nst.com.my/amp/news/nation/2022/09/828245/courage-and-perseverance-face-adversity</t>
  </si>
  <si>
    <t>Около 20 боевых слонов, 20 000 защитников; султан ранен при падении со слона; штурм 25 июля</t>
  </si>
  <si>
    <t>Малайзийская газета, взгляд обороняющейся стороны.</t>
  </si>
  <si>
    <t>История Малакки XIX в. в цифровой библиотеке Музея Тейлера (стр. 222; автора и название уточнить)</t>
  </si>
  <si>
    <t>https://beeld.teylersmuseum.nl/Digital_Library/Emags/28a_24-2/page_222.html</t>
  </si>
  <si>
    <t>Португальцы расступились, ранили слонов копьями; слоны в панике топтали своих</t>
  </si>
  <si>
    <t>Старый вторичный текст: найти автора и ссылки на хроники.</t>
  </si>
  <si>
    <t>Wikipedia: Malay–Portuguese conflicts</t>
  </si>
  <si>
    <t>https://en.wikipedia.org/wiki/Malay%E2%80%93Portuguese_conflicts</t>
  </si>
  <si>
    <t>16 кораблей, 700 португальцев и 300 малабарских вспомогательных; 25 июля, 10 августа</t>
  </si>
  <si>
    <t>Справочник; в статье есть пометки «citation needed».</t>
  </si>
  <si>
    <t>Wikipedia: Portuguese Malacca</t>
  </si>
  <si>
    <t>https://en.wikipedia.org/wiki/Portuguese_Malacca</t>
  </si>
  <si>
    <t>Город пал 24 августа 1511 после 40 дней боёв</t>
  </si>
  <si>
    <t>Fundação José Saramago: The foundation (Casa dos Bicos)</t>
  </si>
  <si>
    <t>https://josesaramago.org/en/?p=162</t>
  </si>
  <si>
    <t>Дом построил в 1523 Брас де Албукерки, сын вице-короля; по образцу палаццо в Ферраре; адрес</t>
  </si>
  <si>
    <t>Официальный сайт фонда в этом здании.</t>
  </si>
  <si>
    <t>Time Out Lisbon: Casa dos Bicos</t>
  </si>
  <si>
    <t>https://timeout.com/lisbon/attractions/casa-dos-bicos</t>
  </si>
  <si>
    <t>1521–1523, фасад «остриями»; часы работы и цена расходятся с другими источниками</t>
  </si>
  <si>
    <t>Путеводитель: часы проверить на сайте фонда.</t>
  </si>
  <si>
    <t>Первоисточники о штурме Малакки (Comentários de Albuquerque, Barros, Correia, Castanheda)</t>
  </si>
  <si>
    <t>Проверить: слоны, как упал султан, число слонов</t>
  </si>
  <si>
    <t>Первоисточник не читан.</t>
  </si>
  <si>
    <t>R. O. Winstedt или другая научная работа о взятии Малакки в 1511 (подобрать)</t>
  </si>
  <si>
    <t>Размеры сил, хронология</t>
  </si>
  <si>
    <t>В поиске всплыла статья Wilkinson в MBRAS: прочитать целиком.</t>
  </si>
  <si>
    <t>Ватикан: биография св. Нуну де Санта Мария Алвариш Перейра</t>
  </si>
  <si>
    <t>https://www.vatican.va/news_services/liturgy/saints/2009/ns_lit_doc_20090426_nuno_en.html</t>
  </si>
  <si>
    <t>Отдал богатство ветеранам; 1423 вступил в основанный им монастырь Кармо; канонизирован 26.04.2009</t>
  </si>
  <si>
    <t>Официальный документ о канонизации, жанр житийный.</t>
  </si>
  <si>
    <t>Britannica: St. Nuno Álvares Pereira</t>
  </si>
  <si>
    <t>https://www.britannica.com/print/article/451304</t>
  </si>
  <si>
    <t>1360–1431; Кармо 1423; победа при Алжубарроту</t>
  </si>
  <si>
    <t>Энциклопедия.</t>
  </si>
  <si>
    <t>Visit Portugal: Museu Arqueológico do Carmo / Convento do Carmo</t>
  </si>
  <si>
    <t>https://www.visitportugal.com/it/node/137892</t>
  </si>
  <si>
    <t>Монастырь основал Нуну; разрушен землетрясением 1755 и позднейшим пожаром; Largo do Carmo</t>
  </si>
  <si>
    <t>Официальный туристический портал.</t>
  </si>
  <si>
    <t>The Portugal News: The Battle of Aljubarrota</t>
  </si>
  <si>
    <t>https://cloud.theportugalnews.com/news/2023-08-16/the-battle-of-aljubarrota/80501</t>
  </si>
  <si>
    <t>Нуну 25 лет, король на три года старше</t>
  </si>
  <si>
    <t>Газета; возраст проверить по дате рождения (24.06.1360).</t>
  </si>
  <si>
    <t>Wikipedia: Battle of Aljubarrota</t>
  </si>
  <si>
    <t>https://en.wikipedia.org/wiki/Battle_of_Aljubarrota</t>
  </si>
  <si>
    <t>Нуну выбрал место боя; позиция на холме около 10 утра</t>
  </si>
  <si>
    <t>Harvard ReVista (DRCLAS): «Bury the dead and feed the living»</t>
  </si>
  <si>
    <t>https://revista.drclas.harvard.edu/?p=31402</t>
  </si>
  <si>
    <t>Фраза приписывается Помбалу; 2 ноября он распорядился убрать тела против чумы; королевская семья в палатках</t>
  </si>
  <si>
    <t>Эссе по документам из Houghton Library.</t>
  </si>
  <si>
    <t>Wikipedia (зеркало 2007 г.): 1755 Lisbon earthquake</t>
  </si>
  <si>
    <t>https://wikipedia2007.classicistranieri.com/1/7/5/1755_Lisbon_earthquake_8243.html</t>
  </si>
  <si>
    <t>Король после мессы на рассвете уехал по желанию дочери; страх перед стенами; лагерь палаток в Ажуде</t>
  </si>
  <si>
    <t>Справочник: сверить с текущей версией статьи.</t>
  </si>
  <si>
    <t>The New Criterion: Lisbon's narrow fate</t>
  </si>
  <si>
    <t>https://newcriterion.com/article/lisbons-narrow-fate/</t>
  </si>
  <si>
    <t>Письмо короля брату жены, Фердинанду VI: нет дома, слуг, подданных, денег, хлеба; Рибейра сгорел</t>
  </si>
  <si>
    <t>Эссе; письмо цитируется без ссылки: найти второй источник.</t>
  </si>
  <si>
    <t>Рецензия на книгу Molesky «This Gulf of Fire» (Dialnet)</t>
  </si>
  <si>
    <t>https://dialnet.unirioja.es/descarga/articulo/6269265.pdf</t>
  </si>
  <si>
    <t>Церкви были полны, люди жили в палатках в полях, роль короля и Помбала</t>
  </si>
  <si>
    <t>Рецензия, не сама книга.</t>
  </si>
  <si>
    <t>Mark Molesky, This Gulf of Fire (2015): письмо короля и ход событий</t>
  </si>
  <si>
    <t>Подтвердить письмо короля, приказы Помбала, высоты волн в Лиссабоне</t>
  </si>
  <si>
    <t>Монография: главный научный источник по теме.</t>
  </si>
  <si>
    <t>Lisboa Secreta: Café Martinho da Arcada</t>
  </si>
  <si>
    <t>https://lisboasecreta.co/lojas-historicas-lisboa-cafe-martinho-da-arcada/</t>
  </si>
  <si>
    <t>Основан как «Casa da Neve» 2.01.1782; имя Martinho с 1845; сменные названия; стол Пессоа</t>
  </si>
  <si>
    <t>Туристический портал. День и год переименования расходятся с другими источниками.</t>
  </si>
  <si>
    <t>Correio da Manhã: Livro desvenda os 240 anos do Martinho da Arcada</t>
  </si>
  <si>
    <t>https://www.cmjornal.pt/cultura/detalhe/livro-desvenda-os-240-anos-do-martinho-da-arcada</t>
  </si>
  <si>
    <t>Основатель Julião Pereira de Castro, neveiro-mor da Casa Real; первый «ботекин де луш» столицы; гости: Bocage, Eça, Pessoa</t>
  </si>
  <si>
    <t>Газета по книге Luís Machado. Основатель из одного источника.</t>
  </si>
  <si>
    <t>Lojas com História (Lisboa): Café Restaurante Martinho da Arcada</t>
  </si>
  <si>
    <t>https://lojascomhistoria.pt/shops/cafe-restaurante-martinho-da-arcada</t>
  </si>
  <si>
    <t>1782 Casa da Neve, продавала напитки и лёд; последовательные названия; 1829 Martinho Bartolomeu Rodrigues</t>
  </si>
  <si>
    <t>Программа охраны исторических лавок. Мост в сегодня.</t>
  </si>
  <si>
    <t>Diário de Notícias: «O café de todos nós», Paulo Dentinho</t>
  </si>
  <si>
    <t>https://www.dn.pt/arquivo/diario-de-noticias/o-cafe-de-todos-nos-por-paulo-dentinho-14492563.html</t>
  </si>
  <si>
    <t>Открытие Casa da Neve 7.01.1782; через два года Casa de Café Italiana; Martinho с 25.05.1829</t>
  </si>
  <si>
    <t>Расходится с Lisboa Secreta (день, год переименования).</t>
  </si>
  <si>
    <t>Luís Machado, книга к 240-летию Martinho da Arcada (название уточнить)</t>
  </si>
  <si>
    <t>Основатель, хронология названий, происхождение снега</t>
  </si>
  <si>
    <t>Книга упомянута в CM. Найти печатный источник.</t>
  </si>
  <si>
    <t>Архив муниципалитета Лиссабона: Casa da Neve, поставки снега ко двору</t>
  </si>
  <si>
    <t>Откуда и как возили снег; роль neveiro-mor</t>
  </si>
  <si>
    <t>Executed Today: «1757: The Tipplers Revolt leaders»</t>
  </si>
  <si>
    <t>https://www.executedtoday.com/2013/page/9/</t>
  </si>
  <si>
    <t>23.02.1757 выступление, 14.10.1757 казнь 13 мужчин и 4 женщин; демаркация Дору; роль английских торговцев</t>
  </si>
  <si>
    <t>Блог об истории казней. Цифры перепроверить научной работой.</t>
  </si>
  <si>
    <t>Fernando de Sousa, «Morra a Companhia!» (O lado sombrio da instituição pombalina), Revista População e Sociedade</t>
  </si>
  <si>
    <t>https://repositorio-aberto.up.pt/bitstream/10216/20418/2/revpopsoc162008frsilva000085287.pdf</t>
  </si>
  <si>
    <t>Лозунг; название «Motim da Companhia»; 23.02.1757; порча имущества, дом судьи</t>
  </si>
  <si>
    <t>Научная статья (Univ. do Porto). Прочитан по фрагментам.</t>
  </si>
  <si>
    <t>Fernando de Sousa, A Companhia Geral da Agricultura das Vinhas do Alto Douro (1756–1978), CEPESE 2003 (аннотация)</t>
  </si>
  <si>
    <t>https://repositorio-aberto.up.pt/handle/10216/20325</t>
  </si>
  <si>
    <t>Цели Компании (1756), сопротивление населения, название и марка существуют до сих пор</t>
  </si>
  <si>
    <t>Аннотация; найти полный текст.</t>
  </si>
  <si>
    <t>Letras UP: статья об архитектуре Порту XVIII в. (сноска о 23.02.1757, Quarta-feira de cinzas)</t>
  </si>
  <si>
    <t>https://ler.letras.up.pt/uploads/ficheiros/4947.pdf</t>
  </si>
  <si>
    <t>Дата 23.02.1757, Пепельная среда; лозунг «Viva el-Rei! Morra a Companhia!»</t>
  </si>
  <si>
    <t>Побочный источник (сноска).</t>
  </si>
  <si>
    <t>Francisco Ribeiro da Silva, Os motins do Porto de 1757 (Imprensa Nacional, 1990)</t>
  </si>
  <si>
    <t>Число казнённых, ход суда, участники</t>
  </si>
  <si>
    <t>Главная монография; пока только рецензия (R. História, USP).</t>
  </si>
  <si>
    <t>Real Companhia Velha: Gaia Cellars (официальный сайт)</t>
  </si>
  <si>
    <t>2026-10-16</t>
  </si>
  <si>
    <t>Основана 10.09.1756 королевской грамотой Жозе I; погреба Rua Azevedo Magalhães 314; музей 17•56 на Cais de Gaia</t>
  </si>
  <si>
    <t>Сайт самой Компании: о своей истории пишет как о достоинстве.</t>
  </si>
  <si>
    <t>Wikipedia: War of the Oranges</t>
  </si>
  <si>
    <t>https://en.wikipedia.org/wiki/War_of_the_Oranges</t>
  </si>
  <si>
    <t>20 мая–9 июня 1801; Годой у Элваша отбит; Оливенса; Бадахосский мир</t>
  </si>
  <si>
    <t>Diário de Notícias: «Da Guerra das Laranjas à Guerra das Rosas»</t>
  </si>
  <si>
    <t>https://www.dn.pt/opiniao-dn/opiniao/da-guerra-das-laranjas-guerra-das-rosas</t>
  </si>
  <si>
    <t>Предание о ветке апельсиновых цветов, посланной королеве; Годой как фаворит Марии Луизы</t>
  </si>
  <si>
    <t>Колонка генерал-лейтенанта; предание, не факт.</t>
  </si>
  <si>
    <t>Observador: Olivença (спор, Венский конгресс, 1817, 12 тыс. жителей)</t>
  </si>
  <si>
    <t>https://observador.pt/?p=6905419</t>
  </si>
  <si>
    <t>Оливенса потеряна по Бадахосу 1801; Испания признала право Португалии 7.05.1817; ~12 тыс. жителей, 23 км от Элваша</t>
  </si>
  <si>
    <t>Газета; ссылается на сайт МИД Португалии.</t>
  </si>
  <si>
    <t>Dialnet: «Olivença, filha da Espanha e neta de Portugal»</t>
  </si>
  <si>
    <t>https://dialnet.unirioja.es/descarga/articulo/5396891.pdf</t>
  </si>
  <si>
    <t>Условия Бадахоса: Оливенса Испании, закрыть порты для британских судов</t>
  </si>
  <si>
    <t>Научная статья; читать целиком.</t>
  </si>
  <si>
    <t>Tratado de Badajoz, 6.06.1801 (описание редкого издания, Castro e Silva)</t>
  </si>
  <si>
    <t>https://www.castroesilva.com/store/sku/2312SB006/optForgotPasswordForm.asp</t>
  </si>
  <si>
    <t>Дата 6.06.1801, подписанты, ратификация, отмена Венским конгрессом 1815</t>
  </si>
  <si>
    <t>Страница антиквара: только как указатель.</t>
  </si>
  <si>
    <t>Текст Бадахосского договора 1801 и ст. 105 Заключительного акта Венского конгресса 1815</t>
  </si>
  <si>
    <t>Условия договора; право Португалии на Оливенсу</t>
  </si>
  <si>
    <t>Wikipedia: Battle of Sobral</t>
  </si>
  <si>
    <t>https://en.wikipedia.org/wiki/Battle_of_Sobral</t>
  </si>
  <si>
    <t>11.10.1810 Массена с ~61 000 нашёл Линии; бои 13–14 октября; выжженная земля; отход с 14/15 ноября</t>
  </si>
  <si>
    <t>History of War: Lines of Torres Vedras</t>
  </si>
  <si>
    <t>https://www.historyofwar.org/articles/lines_of_torres_vedras.html</t>
  </si>
  <si>
    <t>Меморандум 20.10.1809; инженер Fletcher; размеры фортов; секретность; отход через месяц</t>
  </si>
  <si>
    <t>Научно-популярный сайт.</t>
  </si>
  <si>
    <t>Military Wiki / Wikipedia: Lines of Torres Vedras</t>
  </si>
  <si>
    <t>https://military-history.fandom.com/wiki/Lines_of_Torres_Vedras</t>
  </si>
  <si>
    <t>Строительство ноябрь 1809 – сентябрь 1810, три линии; оценка ≈50 тыс. португальских жертв</t>
  </si>
  <si>
    <t>Слабый источник: цифру жертв не использовать без научного.</t>
  </si>
  <si>
    <t>Chartrand, Fuentes de Oñoro 1811 (Osprey, описание книги)</t>
  </si>
  <si>
    <t>https://betterread.com.au/book/fuentes-de-onoro-1811.do</t>
  </si>
  <si>
    <t>Линии как «высшая точка» французов; Массена отходит из-за голода</t>
  </si>
  <si>
    <t>Описание издателя, не сама книга.</t>
  </si>
  <si>
    <t>John Grehan, The Lines of Torres Vedras (Spellmount)</t>
  </si>
  <si>
    <t>Число фортов, строительство, секретность, потери гражданских</t>
  </si>
  <si>
    <t>Основная работа; в справочниках цитируется.</t>
  </si>
  <si>
    <t>Wellington, Memorandum of 20 October 1809 (Wellington's Dispatches)</t>
  </si>
  <si>
    <t>Приказ о строительстве</t>
  </si>
  <si>
    <t>Wikipedia: Porto Boat Bridge disaster</t>
  </si>
  <si>
    <t>https://en.wikipedia.org/wiki/Porto_Boat_Bridge_disaster</t>
  </si>
  <si>
    <t>29.03.1809, бегство к Гайе под огнём; Alminhas da Ponte, бронза Teixeira Lopes 1897; церковь São José das Taipas</t>
  </si>
  <si>
    <t>Wikipedia: First Battle of Porto</t>
  </si>
  <si>
    <t>https://en.wikipedia.org/wiki/First_Battle_of_Porto</t>
  </si>
  <si>
    <t>Штурм Порту Сультом 29.03.1809, тысячи утонувших</t>
  </si>
  <si>
    <t>Справочник.</t>
  </si>
  <si>
    <t>Infopédia: Ponte das Barcas</t>
  </si>
  <si>
    <t>https://www.infopedia.pt/artigos/$ponte-das-barcas</t>
  </si>
  <si>
    <t>Мост 1806, 20 барж, обрушение 29.03.1809, ≈5000 погибших</t>
  </si>
  <si>
    <t>Энциклопедия Porto Editora.</t>
  </si>
  <si>
    <t>Wikipedia: List of disasters in Portugal by death toll</t>
  </si>
  <si>
    <t>https://en.wikipedia.org/wiki/List_of_disasters_in_Portugal_by_death_toll</t>
  </si>
  <si>
    <t>Оценка ≈4000 погибших</t>
  </si>
  <si>
    <t>Справочник: только как указатель.</t>
  </si>
  <si>
    <t>«Painting the Battle of Porto, March 29, 1809: The Desastre da Ponte das Barcas in its Portuguese and French context»</t>
  </si>
  <si>
    <t>https://www.academia.edu/1772346</t>
  </si>
  <si>
    <t>Хроника, число жертв, изображения</t>
  </si>
  <si>
    <t>Название в списке Wikipedia, сама статья не читана.</t>
  </si>
  <si>
    <t>Современные свидетельства (письма, донесения, реляции) о бегстве 29.03.1809</t>
  </si>
  <si>
    <t>Ход событий, число погибших</t>
  </si>
  <si>
    <t>Wikipedia: Portuguese Legion (Napoleonic Wars)</t>
  </si>
  <si>
    <t>https://en.wikipedia.org/wiki/Portuguese_Legion_(Napoleonic_Wars)</t>
  </si>
  <si>
    <t>≈9000 человек, формирование февраль 1808, Ваграм, Смоленск, Бородино, Березина</t>
  </si>
  <si>
    <t>Справочник: пометка «citation needed» в статье.</t>
  </si>
  <si>
    <t>Infopédia: Legião Portuguesa (1808)</t>
  </si>
  <si>
    <t>https://www.infopedia.pt/artigos/$legiao-portuguesa-(1808)</t>
  </si>
  <si>
    <t>Alorna и Gomes Freire; декрет 5 мая; 60 крестов Почётного легиона; Россия 1812; ≈100 человек; роспуск 25.11.1813</t>
  </si>
  <si>
    <t>Wikipedia: Pedro de Almeida Portugal, 3rd Marquis of Alorna</t>
  </si>
  <si>
    <t>https://en.wikipedia.org/wiki/Pedro_de_Almeida_Portugal,_3rd_Marquis_of_Alorna</t>
  </si>
  <si>
    <t>Командующий португальскими войсками 1808; генерал на французской службе</t>
  </si>
  <si>
    <t>Artur Ribeiro, Legião Portuguesa ao Serviço de Napoleão (1808–1813), Lisboa, Ferin, 1901</t>
  </si>
  <si>
    <t>Численность, потери, Россия</t>
  </si>
  <si>
    <t>Старая монография.</t>
  </si>
  <si>
    <t>Teotónio Banha, Apontamentos para a História da Legião Portuguesa, 1863</t>
  </si>
  <si>
    <t>Свидетельства участников</t>
  </si>
  <si>
    <t>Ранний источник.</t>
  </si>
  <si>
    <t>Ara.cat: Food tour of Lisbon with a guide who has been dead for 100 years</t>
  </si>
  <si>
    <t>https://en.ara.cat/food/food-tour-of-lisbon-with-guide-who-has-been-dead-for-100-years_130_5402142.html</t>
  </si>
  <si>
    <t>Основатель Julião Pereira de Castro сдал помещение итальянцу; имя Martinho в 1829 дал внук; год основания указан как 1778; стол Пессоа</t>
  </si>
  <si>
    <t>Газета; расходится по датам и имени.</t>
  </si>
  <si>
    <t>Diário de Notícias: «O café de Pessoa e de outros lisboetas»</t>
  </si>
  <si>
    <t>https://www.dn.pt/arquivo/diario-de-noticias/o-cafe-de-pessoa-e-de-outros-lisboetas-13007586.html</t>
  </si>
  <si>
    <t>Casa da Neve как поставщик льда для Casa Real; Martinho с 1845; «самое старое действующее кафе Лиссабона»</t>
  </si>
  <si>
    <t>Газета.</t>
  </si>
  <si>
    <t>Agroportal: открытие 17•56 Museu &amp; Enoteca da Real Companhia Velha (2018)</t>
  </si>
  <si>
    <t>https://bo.agroportal.pt/?p=689450</t>
  </si>
  <si>
    <t>Музей на Cais de Gaia (Alameda da Rua Serpa Pinto 44B), название по 1756; цена и режим проверить</t>
  </si>
  <si>
    <t>Новость об открытии; данные для посещения могли измениться.</t>
  </si>
  <si>
    <t>R. McCaa (UMN): Pombal, the paradox (слайд)</t>
  </si>
  <si>
    <t>https://users.pop.umn.edu/~rmccaa/colonial/brazilc3/tsld014.htm</t>
  </si>
  <si>
    <t>Мятеж 23.02.1757: 14 повешенных и около 400 сосланных, выпоротых или осуждённых на галеры</t>
  </si>
  <si>
    <t>Слабый источник (лекционный слайд). Только для сверки числа казнённых.</t>
  </si>
  <si>
    <t>Rota Histórica das Linhas de Torres Vedras: Centro de Interpretação (Capela do Forte de S. Vicente)</t>
  </si>
  <si>
    <t>Центр в капелле форта São Vicente, адрес, режим, цена билета</t>
  </si>
  <si>
    <t>Официальный сайт маршрута: часы проверять перед публикацией.</t>
  </si>
  <si>
    <t>Portugal Film Commission: Fort of São Vicente</t>
  </si>
  <si>
    <t>https://portugalfilmcommission.com/en/location/fort-of-sao-vicente/</t>
  </si>
  <si>
    <t>Форт 1809 года, 26 орудий, гарнизон 2000–2200 человек, места примерно для 4000</t>
  </si>
  <si>
    <t>Данные муниципалитета Торреш-Ведраш.</t>
  </si>
  <si>
    <t>British Historical Society of Portugal: Wellington took refuge behind the Lines of Torres Vedras</t>
  </si>
  <si>
    <t>https://www.bhsportugal.org/anglo-portuguese-timeline/wellington-took-refuge-behind-the-lines-of-torres-vedras</t>
  </si>
  <si>
    <t>152 форта, строились быстро и тайно; «Массена не знал об их существовании»</t>
  </si>
  <si>
    <t>Общество, не академический текст: формулировка о незнании категорична.</t>
  </si>
  <si>
    <t>Diário de Notícias: «As alminhas da ponte não deixam esquecer a tragédia da Ponte das Barcas»</t>
  </si>
  <si>
    <t>https://www.dn.pt/arquivo/diario-de-noticias/as-alminhas-da-ponte-nao-deixam-esquecer-a-tragedia-da-ponte-das-barcas-11839283.html</t>
  </si>
  <si>
    <t>Всегда горят свечи под барельефом Teixeira Lopes; месса 29 марта (Irmandade das Almas); оценки: от «больших сотен» до более 4000</t>
  </si>
  <si>
    <t>Газета; цитирует краеведа Germano Silva.</t>
  </si>
  <si>
    <t>History.com: 8 of the Most Devastating Bridge Collapses (Ponte das Barcas)</t>
  </si>
  <si>
    <t>https://www.history.com/articles/deadly-bridge-collapses</t>
  </si>
  <si>
    <t>≈4000 погибших, мост 1806 года из около 20 лодок, обрушился под тяжестью толпы</t>
  </si>
  <si>
    <t>Nuno Lemos Pires: El Ejército Portugués y el nuevo Ejército Anglo-portugués en 1808 (Madrid, 2004)</t>
  </si>
  <si>
    <t>https://www.centotredicesimo.org/wp-content/uploads/2015/11/Nuno-Lemos-Pires-Ejercito-portugues-y-anglo-portugues-1808-libre.pdf</t>
  </si>
  <si>
    <t>Легион ≈9000 человек; цитата Boppe (1897) о Ваграме, Смоленске, Москве, Березине и смерти Алорны в Кёнигсберге</t>
  </si>
  <si>
    <t>Текст семинарского доклада; ссылается на Boppe.</t>
  </si>
  <si>
    <t>Observador: «A Santa Aliança e a exceção portuguesa»</t>
  </si>
  <si>
    <t>https://observador.pt/opiniao/a-santa-alianca-e-a-excepcao-portuguesa/</t>
  </si>
  <si>
    <t>Легион оценивается в 12 000 человек</t>
  </si>
  <si>
    <t>Колонка: только для сверки разброса чисел.</t>
  </si>
  <si>
    <t>The Battle of Aljubarrota (Antiquity, 1963)</t>
  </si>
  <si>
    <t>https://resolve.cambridge.org/core/journals/antiquity/article/battle-of-aljubarrota/849391E3737AD96B5A81A35A8C619B51</t>
  </si>
  <si>
    <t>Противоречие хроник: Froissart описывает оборонительную систему, очевидец Айяла молчит, Лопеш писал через 60 лет и не описывает; в 1960 Комиссия военной истории заказала изучение</t>
  </si>
  <si>
    <t>Только вводный абзац доступен; прочитать статью целиком.</t>
  </si>
  <si>
    <t>Lisbon City Council: Lojas com História, Café Martinho da Arcada</t>
  </si>
  <si>
    <t>https://www.comerciocomhistoria.gov.pt/en/?p=21796</t>
  </si>
  <si>
    <t>Основано в 1782; адрес Rua da Prata 2/8; часы пн–сб 7–23; сайт кафе martinhodaarcada.pt</t>
  </si>
  <si>
    <t>Реестр города: адрес и часы расходятся с другими источниками.</t>
  </si>
  <si>
    <t>Lojas com História: Café Restaurante Martinho da Arcada</t>
  </si>
  <si>
    <t>Casa da Neve 1782, смена названий, в 1829 новый владелец Martinho Bartolomeu Rodrigues дал своё имя</t>
  </si>
  <si>
    <t>Город пишет 1829, DN и Lisboa Secreta 1845.</t>
  </si>
  <si>
    <t>Time Out Lisboa: Martinho da Arcada</t>
  </si>
  <si>
    <t>https://www.timeout.pt/lisboa/pt/restaurantes/martinho-da-arcada</t>
  </si>
  <si>
    <t>Стол Пессоа остаётся зарезервированным для поэта; адрес Praça do Comércio 3; часы</t>
  </si>
  <si>
    <t>Путеводитель: часы проверять на сайте кафе.</t>
  </si>
  <si>
    <t>Times Higher Education: «How Leo lionised a jumbo pet» (о книге Бедини)</t>
  </si>
  <si>
    <t>https://www.timeshighereducation.com/node/87270</t>
  </si>
  <si>
    <t>Тело носорога нашли, сделали чучело, оно дошло до Рима; слон Ханно умер 8 июня 1516</t>
  </si>
  <si>
    <t>Рецензия на книгу, про чучело одна фраза.</t>
  </si>
  <si>
    <t>International Rhino Foundation: A Gift fit for a King… and Also a Pope!</t>
  </si>
  <si>
    <t>https://rhinos.org/?p=3956</t>
  </si>
  <si>
    <t>Тело вынесло на берег, сделали чучело и доставили папе; бой со слоном</t>
  </si>
  <si>
    <t>Научно-популярный текст.</t>
  </si>
  <si>
    <t>L. C. Rookmaaker: Captive rhinoceroses in Europe from 1500 until 1810 (Bijdragen tot de Dierkunde 43, 1973)</t>
  </si>
  <si>
    <t>https://rhinoresourcecenter.com/wp-content/uploads/2006/12/1175862823.pdf</t>
  </si>
  <si>
    <t>Тело выбросило на берег, из него сделали чучело; отправка в Рим; Марсель, январь 1516</t>
  </si>
  <si>
    <t>Академическая сводка; скан с ошибками распознавания.</t>
  </si>
  <si>
    <t>Dorotheum: описание лота по данным Альбертины (Вена)</t>
  </si>
  <si>
    <t>https://dorotheum.com/cz/l/2184101</t>
  </si>
  <si>
    <t>Версия: шкуру вернули в Лиссабон, набили и в феврале 1516 отправили в Рим</t>
  </si>
  <si>
    <t>Аукционный дом: версия расходится с другими.</t>
  </si>
  <si>
    <t>Qalam: «Носорог Альбрехта Дюрера»</t>
  </si>
  <si>
    <t>https://qalam.global/en/articles/nosorog-albrexta-diurera-ru-72</t>
  </si>
  <si>
    <t>Версии судьбы тела расходятся: съели, шкура попала в Рим или в Португалию</t>
  </si>
  <si>
    <t>Популярная статья.</t>
  </si>
  <si>
    <t>BnF: Le planisphère de Caverio (dossier pédagogique)</t>
  </si>
  <si>
    <t>https://classes.bnf.fr/pdf/caverio.pdf</t>
  </si>
  <si>
    <t>1504: Мануэл запретил картографам рисовать побережье Африки дальше Сан-Томе; Кантино повлиял на Каверио, затем на Вальдземюллера</t>
  </si>
  <si>
    <t>Национальная библиотека Франции.</t>
  </si>
  <si>
    <t>Wagner (Ohio State): 1502 / Cantino Planisphere</t>
  </si>
  <si>
    <t>https://u.osu.edu/wagner.19/?p=806</t>
  </si>
  <si>
    <t>Письмо 1501: Кантино подслушал доклад Кортиреала королю; шесть листов пергамента; около 70 лет в библиотеке Феррары</t>
  </si>
  <si>
    <t>Учебный блог; письма цитируются без ссылки, нужна первичка.</t>
  </si>
  <si>
    <t>Northwest Cartographic: The Cantino Planisphere</t>
  </si>
  <si>
    <t>https://nwcartographic.com/blogs/essays-articles/the-cantino-planisphere</t>
  </si>
  <si>
    <t>Карта быстро устарела: карты Каверио и Вальдземюллера её превзошли</t>
  </si>
  <si>
    <t>Антикварный дилер.</t>
  </si>
  <si>
    <t>Годой не взял Элваш (генерал Норонья), сорвал апельсины возле Элваша и послал королеве; Оливенса</t>
  </si>
  <si>
    <t>Diário de Notícias (opinião): Da Guerra das Laranjas à Guerra das Rosas</t>
  </si>
  <si>
    <t>Португальская версия предания: ветка цветов апельсина «как доказательство привязанности»</t>
  </si>
  <si>
    <t>Колонка.</t>
  </si>
  <si>
    <t>Muy Interesante: ¿Qué fue la guerra de las Naranjas?</t>
  </si>
  <si>
    <t>https://muyinteresante.okdiario.com/historia/34542.html</t>
  </si>
  <si>
    <t>Война длилась 18 дней с 20 мая; название пошло от сатиры противников Годоя</t>
  </si>
  <si>
    <t>Популярный журнал.</t>
  </si>
  <si>
    <t>RTP: Castanheira de Pera cria monumento ao neveiro</t>
  </si>
  <si>
    <t>https://www.rtp.pt/noticias/economia/castanheira-de-pera-requalifica-largo-e-cria-monumento-ao-neveiro_n1488704</t>
  </si>
  <si>
    <t>Фабрика льда в Монтежунту перестроена Жулианом Перейрой 31 января 1782; лёд делали в бассейнах, снег собирали в Серра-да-Лозан</t>
  </si>
  <si>
    <t>Новость о муниципальном проекте.</t>
  </si>
  <si>
    <t>Time Out: O Rossio na Betesga #22, a neve da Conservaria Pomona</t>
  </si>
  <si>
    <t>https://www.timeout.pt/lisboa/pt/noticias/o-rossio-na-betesga-22-a-neve-da-conservaria-pomona-041219</t>
  </si>
  <si>
    <t>Снег с Эштрелы, затем с Лозан; Real Fábrica do Gelo около 1741, бассейны 10–15 см; Casa da Neve открыта в 1778</t>
  </si>
  <si>
    <t>Расходится по году открытия (1778).</t>
  </si>
  <si>
    <t>RTP: Projeto recria tradição antiga e leva neve da Serra da Estrela até Lisboa</t>
  </si>
  <si>
    <t>https://www.rtp.pt/noticias/cultura/projeto-recria-tradicao-antiga-e-leva-neve-da-serra-da-estrela-ate-lisboa_n1340652</t>
  </si>
  <si>
    <t>«Neve» это ароматный лёд; спор с кафе Marrare за лёд; Эса де Кейрош</t>
  </si>
  <si>
    <t>Lusa.</t>
  </si>
  <si>
    <t>RFM: A neve já chegou a Lisboa</t>
  </si>
  <si>
    <t>https://rfm.pt/atualidade/amp/10887/a-neve-ja-chegou-a-lisboa</t>
  </si>
  <si>
    <t>Путь снега: ямы, волы, ослы, затем лодки по Тежу</t>
  </si>
  <si>
    <t>Радио, реконструкция маршрута.</t>
  </si>
  <si>
    <t>Get Lisbon: Real Fábrica do Gelo da Serra de Montejunto</t>
  </si>
  <si>
    <t>https://getlisbon.com/discovering/royal-factory-ice/</t>
  </si>
  <si>
    <t>Жулиан руководил снеговиками Коэнтрал и владел монополией; Casa da Neve указана как 1778</t>
  </si>
  <si>
    <t>Путеводитель.</t>
  </si>
  <si>
    <t>World History Encyclopedia: Portuguese Malacca</t>
  </si>
  <si>
    <t>https://www.worldhistory.org/Portuguese_Malacca/</t>
  </si>
  <si>
    <t>Цитата Пиреша «кто владеет Малаккой, держит Венецию за горло»</t>
  </si>
  <si>
    <t>EBSCO: Tomé Pires</t>
  </si>
  <si>
    <t>https://www.ebsco.com/research-starters/biography/tome-pires</t>
  </si>
  <si>
    <t>Suma Oriental написана в 1512–1515; та же цитата</t>
  </si>
  <si>
    <t>Koboi Project: Malacca (памятник Албукерки в Белеме)</t>
  </si>
  <si>
    <t>https://koboiproject.com/tag/malacca/page/2/</t>
  </si>
  <si>
    <t>Памятник в Белеме с четырьмя рельефами, один из них взятие Малакки</t>
  </si>
  <si>
    <t>Блог: слабый источник. Проверить на сайте города.</t>
  </si>
  <si>
    <t>Taylor's Port: The Marquis of Pombal</t>
  </si>
  <si>
    <t>https://www.taylor.pt/en/what-is-port-wine/history-of-port/the-marquis-of-pombal</t>
  </si>
  <si>
    <t>1756: компания с монополией на торговлю с Англией и Бразилией; границы региона, 335 столбов; вырывание бузины</t>
  </si>
  <si>
    <t>Сайт портвейновой компании: рассказывает о своей истории с гордостью.</t>
  </si>
  <si>
    <t>Wine Anorak: Feitoria, demarcating the Douro</t>
  </si>
  <si>
    <t>https://www.wineanorak.com/wineblog/portugal/feitoria-demarcating-the-douro</t>
  </si>
  <si>
    <t>Камни «Feitoria 1758», поставлены в 1758 и 1761, 335 штук, 103 стоят; кризис перепроизводства и подделок; британские купцы</t>
  </si>
  <si>
    <t>Блог винного критика.</t>
  </si>
  <si>
    <t>Álvaro Moreira da Fonseca, As Demarcações Pombalinas no Douro Vinhateiro (1949), по тексту Univ. do Porto</t>
  </si>
  <si>
    <t>https://ler.letras.up.pt/uploads/ficheiros/18513.pdf</t>
  </si>
  <si>
    <t>Карта Дору 1757, демаркации 1757, 1758 и 1761</t>
  </si>
  <si>
    <t>Только фрагменты; прочитать работу.</t>
  </si>
  <si>
    <t>Основана 10.09.1756 королевской грамотой; погреба и музей 17•56 в Гае</t>
  </si>
  <si>
    <t>Сайт самой Компании.</t>
  </si>
  <si>
    <t>Фото marco pombalino на Wikimedia Commons (категория и лицензия)</t>
  </si>
  <si>
    <t>Картинка для карточки</t>
  </si>
  <si>
    <t>Не искал.</t>
  </si>
  <si>
    <t>Место</t>
  </si>
  <si>
    <t>В одном предложении</t>
  </si>
  <si>
    <t>Эпоха №</t>
  </si>
  <si>
    <t>В MVP?</t>
  </si>
  <si>
    <t>Важн.</t>
  </si>
  <si>
    <t>Крючок</t>
  </si>
  <si>
    <t>Откуда</t>
  </si>
  <si>
    <t>Заметка</t>
  </si>
  <si>
    <t>150 млн лет назад</t>
  </si>
  <si>
    <t>Лоуриньян</t>
  </si>
  <si>
    <t>Яйца динозавров с эмбрионами ⚠</t>
  </si>
  <si>
    <t>✔</t>
  </si>
  <si>
    <t>не начато</t>
  </si>
  <si>
    <t>Приложение А</t>
  </si>
  <si>
    <t>Пролог, не эпоха</t>
  </si>
  <si>
    <t>139 до н. э.</t>
  </si>
  <si>
    <t>Центр страны</t>
  </si>
  <si>
    <t>Убийство вождя лузитан Вириата</t>
  </si>
  <si>
    <t>±</t>
  </si>
  <si>
    <t>I в.</t>
  </si>
  <si>
    <t>Конимбрига</t>
  </si>
  <si>
    <t>Римский город с мозаиками</t>
  </si>
  <si>
    <t>I–V вв.</t>
  </si>
  <si>
    <t>Троя (Сетубал)</t>
  </si>
  <si>
    <t>Римские чаны для рыбного соуса гарум ⚠</t>
  </si>
  <si>
    <t>VIII–XII вв.</t>
  </si>
  <si>
    <t>Алгарве, Лиссабон</t>
  </si>
  <si>
    <t>Алгарве и азулежу от арабских слов ⚠</t>
  </si>
  <si>
    <t>1139</t>
  </si>
  <si>
    <t>Оурике</t>
  </si>
  <si>
    <t>Афонсу Энрикеш провозглашён королём (традиция) ⚠</t>
  </si>
  <si>
    <t>Вне MVP: слабый крючок, спорная дата</t>
  </si>
  <si>
    <t>1147</t>
  </si>
  <si>
    <t>Лиссабон</t>
  </si>
  <si>
    <t>Взятие Лиссабона с крестоносцами</t>
  </si>
  <si>
    <t>1297</t>
  </si>
  <si>
    <t>Граница</t>
  </si>
  <si>
    <t>Договор об одной из старейших границ Европы ⚠</t>
  </si>
  <si>
    <t>?</t>
  </si>
  <si>
    <t>Не попадает ни в одну эпоху: пробел 1249–1385</t>
  </si>
  <si>
    <t>1385</t>
  </si>
  <si>
    <t>Алжубарроту, Баталья</t>
  </si>
  <si>
    <t>Битва «1 против 5» и легенда о пекарше ⚠</t>
  </si>
  <si>
    <t>карточка есть</t>
  </si>
  <si>
    <t>Вторая нить из-за пекарши: решение владельца</t>
  </si>
  <si>
    <t>1415</t>
  </si>
  <si>
    <t>Сеута</t>
  </si>
  <si>
    <t>Начало заморской экспансии</t>
  </si>
  <si>
    <t>Каркас, но слабый крючок: искать человека или деталь</t>
  </si>
  <si>
    <t>1498</t>
  </si>
  <si>
    <t>Каликут</t>
  </si>
  <si>
    <t>Васку да Гама достигает Индии</t>
  </si>
  <si>
    <t>1500</t>
  </si>
  <si>
    <t>Бразилия</t>
  </si>
  <si>
    <t>Кабрал выходит к берегам Бразилии</t>
  </si>
  <si>
    <t>1515</t>
  </si>
  <si>
    <t>Носорог и слон; гравюра Дюрера ⚠</t>
  </si>
  <si>
    <t>История (не каркас)</t>
  </si>
  <si>
    <t>1543</t>
  </si>
  <si>
    <t>Япония</t>
  </si>
  <si>
    <t>Португальцы в Японии, слова в японском языке ⚠</t>
  </si>
  <si>
    <t>Идея второй нити «Еда и вино» (сладости, слова): ⚠ проверить, есть ли там история</t>
  </si>
  <si>
    <t>1578</t>
  </si>
  <si>
    <t>Алкасер-Кибир</t>
  </si>
  <si>
    <t>Пропавший король Себастьян, ожидание его возвращения</t>
  </si>
  <si>
    <t>1640</t>
  </si>
  <si>
    <t>«Сорок заговорщиков» и Реставрация, праздник 1 декабря</t>
  </si>
  <si>
    <t>1662</t>
  </si>
  <si>
    <t>Лондон</t>
  </si>
  <si>
    <t>Екатерина Брагансская и мода на чай ⚠</t>
  </si>
  <si>
    <t>Эпоха 5: вне MVP</t>
  </si>
  <si>
    <t>1755</t>
  </si>
  <si>
    <t>Землетрясение, цунами, «клетка Помбала» ⚠</t>
  </si>
  <si>
    <t>1807</t>
  </si>
  <si>
    <t>Лиссабон, Рио</t>
  </si>
  <si>
    <t>Королевский двор уплывает в Бразилию</t>
  </si>
  <si>
    <t>1910</t>
  </si>
  <si>
    <t>Республика, 5 октября</t>
  </si>
  <si>
    <t>1960–70-е</t>
  </si>
  <si>
    <t>Франция</t>
  </si>
  <si>
    <t>Эмиграция «на скачок»</t>
  </si>
  <si>
    <t>По датам эпоха 8, но design ограничивает её 25 апреля</t>
  </si>
  <si>
    <t>1974</t>
  </si>
  <si>
    <t>25 апреля, гвоздики в стволах, Селесте Кайейру ⚠</t>
  </si>
  <si>
    <t>Граница эпох 8 и 9 (1974)</t>
  </si>
  <si>
    <t>1986</t>
  </si>
  <si>
    <t>Страна</t>
  </si>
  <si>
    <t>Вступление в ЕС</t>
  </si>
  <si>
    <t>✘</t>
  </si>
  <si>
    <t>XVI в.</t>
  </si>
  <si>
    <t>Пряности и Каза-да-Индия (идея для нити «Еда и вино»)</t>
  </si>
  <si>
    <t>гипотеза ⚠ не проверено</t>
  </si>
  <si>
    <t>Добавлено мной для закрытия пустой нити. Проверить, есть ли история с крючком и мостом</t>
  </si>
  <si>
    <t>Атлантика</t>
  </si>
  <si>
    <t>Треска и Ньюфаундленд (идея)</t>
  </si>
  <si>
    <t>Добавлено мной. Проверить даты и мост в сегодня</t>
  </si>
  <si>
    <t>Селесте Кайейру: отдельная история о гвоздиках (идея)</t>
  </si>
  <si>
    <t>Сейчас входит в строку 1974. Если делать отдельно, закрывает «Люди как мы»</t>
  </si>
  <si>
    <t>Аисты и их гнёзда (идея для нити «Природа», без даты)</t>
  </si>
  <si>
    <t>Нет привязки к эпохе. Скорее вне MVP</t>
  </si>
  <si>
    <t>1501–02</t>
  </si>
  <si>
    <t>Агент герцога Феррары вывозит секретную карту мира</t>
  </si>
  <si>
    <t>список Gemini, проверено</t>
  </si>
  <si>
    <t>Карточка написана; мост: копия в Museu de Marinha</t>
  </si>
  <si>
    <t>Порту</t>
  </si>
  <si>
    <t>Город отдал мясо флоту, оставил потроха: прозвище «tripeiros»</t>
  </si>
  <si>
    <t>Предание. Закрывает нить «Еда и вино». Мост: памятник 1960 г., официального сайта нет</t>
  </si>
  <si>
    <t>1511</t>
  </si>
  <si>
    <t>Малакка</t>
  </si>
  <si>
    <t>Султан выпускает слонов, португальцы бьют в глаз передовому</t>
  </si>
  <si>
    <t>Мост: Casa dos Bicos в Лиссабоне</t>
  </si>
  <si>
    <t>1782</t>
  </si>
  <si>
    <t>Casa da Neve: лёд и первое «люкс-кафе» под аркадами, сегодня Martinho da Arcada</t>
  </si>
  <si>
    <t>документ пользователя + проверка Claude, 15.10.2026</t>
  </si>
  <si>
    <t>Мост: можно зайти в кафе. Связка с землетрясением 1755 (площадь отстроена после).</t>
  </si>
  <si>
    <t>1757</t>
  </si>
  <si>
    <t>«Смерть Компании!»: бунт против винной монополии Помбала, первая демаркированная винная зона</t>
  </si>
  <si>
    <t>Закрывает «Еду и вино» и «Власть и бунт». Мост: Real Companhia Velha, нужно проверить адрес и визиты.</t>
  </si>
  <si>
    <t>1801</t>
  </si>
  <si>
    <t>Алентежу</t>
  </si>
  <si>
    <t>Апельсиновая война: Годой шлёт королеве ветку, Португалия теряет Оливенсу</t>
  </si>
  <si>
    <t>Анекдот с апельсинами подавать как предание. Мост: Эльваш; Оливенса живой спор до сих пор.</t>
  </si>
  <si>
    <t>1810</t>
  </si>
  <si>
    <t>Торреш-Ведраш</t>
  </si>
  <si>
    <t>Линии Торрес-Ведрас: Массена упирается в секретную линию фортов</t>
  </si>
  <si>
    <t>Каркас эпохи 6. Мост: форты открыты для посещения, нужно выбрать один и проверить часы.</t>
  </si>
  <si>
    <t>1809</t>
  </si>
  <si>
    <t>Мост из лодок: бегство от французов, тысячи погибших, мемориал Alminhas da Ponte</t>
  </si>
  <si>
    <t>Тяжёлая тема. Мост: Alminhas da Ponte на Рибейре; нужно уточнить адрес и координаты.</t>
  </si>
  <si>
    <t>1808–12</t>
  </si>
  <si>
    <t>Франция, Россия</t>
  </si>
  <si>
    <t>Португальский легион на службе Наполеона: Ваграм, Смоленск, Бородино</t>
  </si>
  <si>
    <t>Моста в сегодня пока нет: проверить Museu Militar de Lisboa. Идея второй карточки: Gomes Freire de Andrade.</t>
  </si>
  <si>
    <t>1709</t>
  </si>
  <si>
    <t>Падре Бартоломеу де Гусман и «Пассарола»: горячий воздух перед королём за 74 года до Монгольфье</t>
  </si>
  <si>
    <t>Эпоха 5, вне MVP. Демонстрация 1709: историки спорят, что именно поднялось; гравюра «птицы» — фантазия. Метка будет debated. Не начато.</t>
  </si>
  <si>
    <t>1817</t>
  </si>
  <si>
    <t>Gomes Freire de Andrade: заместитель командира Легиона, казнён за заговор (идея)</t>
  </si>
  <si>
    <t>документ пользователя, идея</t>
  </si>
  <si>
    <t>Из заметок к карточке Legião. Проверить дату казни и роль в заговоре 1817. Эпоха 7, вне MVP.</t>
  </si>
  <si>
    <t>1959</t>
  </si>
  <si>
    <t>Лиссабон, Martinho da Arcada</t>
  </si>
  <si>
    <t>Revolta da Sé: заговор планировали за столом кафе (идея)</t>
  </si>
  <si>
    <t>Единственный источник: колонка DN (Dentinho). Связка с карточкой Casa da Neve. Эпоха 8, вне MVP.</t>
  </si>
  <si>
    <t>XIX в.</t>
  </si>
  <si>
    <t>Пирожное «Napoleão» и вторжение 1809 года (идея)</t>
  </si>
  <si>
    <t>Блог Portoalities пишет, что «Napoleão» можно попробовать только в Порту. Происхождение названия не проверено.</t>
  </si>
  <si>
    <t>Сводка по проекту (считается само)</t>
  </si>
  <si>
    <t>Порог карточек для показа нити (spec §7)</t>
  </si>
  <si>
    <t>Цель: событий каркаса на эпоху (design §6)</t>
  </si>
  <si>
    <t>Нити</t>
  </si>
  <si>
    <t>Нить (slug)</t>
  </si>
  <si>
    <t>Название</t>
  </si>
  <si>
    <t>Карточек в таблице</t>
  </si>
  <si>
    <t>Из них «готово»</t>
  </si>
  <si>
    <t>Кандидатов в MVP без карточки</t>
  </si>
  <si>
    <t>Потенциал (карточки + кандидаты)</t>
  </si>
  <si>
    <t>Покажется на сайте сейчас?</t>
  </si>
  <si>
    <t>Хватит по плану?</t>
  </si>
  <si>
    <t>Море</t>
  </si>
  <si>
    <t>Еда и вино</t>
  </si>
  <si>
    <t>Власть и бунт</t>
  </si>
  <si>
    <t>Люди как мы</t>
  </si>
  <si>
    <t>Природа</t>
  </si>
  <si>
    <t>Потенциал считается по кандидатам с «В MVP? = да», у которых статус не «карточка есть». Одна карточка считается и по основной, и по второй нити (spec §7).</t>
  </si>
  <si>
    <t>Эпохи MVP</t>
  </si>
  <si>
    <t>Эпоха (slug)</t>
  </si>
  <si>
    <t>Каркас: карточек</t>
  </si>
  <si>
    <t>Цель каркаса</t>
  </si>
  <si>
    <t>Истории: карточек</t>
  </si>
  <si>
    <t>Всего</t>
  </si>
  <si>
    <t>Готово</t>
  </si>
  <si>
    <t>Авис и Великие открытия</t>
  </si>
  <si>
    <t>Помбал, землетрясение, бегство двора</t>
  </si>
  <si>
    <t>estado-novo-e-25-de-abril</t>
  </si>
  <si>
    <t>Эштаду Нову и Революция гвоздик</t>
  </si>
  <si>
    <t>Итого</t>
  </si>
  <si>
    <t>Цель MVP: около 15 событий каркаса и 8–10 историй. Эпоха 8 по design ограничена одним событием (25 апреля): цель каркаса там, скорее всего, ниже.</t>
  </si>
  <si>
    <t>Состояние карточек</t>
  </si>
  <si>
    <t>Всего карточек в таблице</t>
  </si>
  <si>
    <t>С замечаниями автопроверки</t>
  </si>
  <si>
    <t>Статус «готово»</t>
  </si>
  <si>
    <t>Рабочая таблица историй «O Elefante Fugiu»</t>
  </si>
  <si>
    <t>Для чего</t>
  </si>
  <si>
    <t>Здесь ведутся все карточки. Одна строка равна одной карточке. Из этой таблицы скрипт export_yaml.py делает файлы YAML для сайта (spec §7).</t>
  </si>
  <si>
    <t>Цвета</t>
  </si>
  <si>
    <t>Светло-жёлтые ячейки: вводить сюда. Серые: формулы, не трогать. Красный текст в «Проверка»: чего не хватает.</t>
  </si>
  <si>
    <t>Как добавить карточку</t>
  </si>
  <si>
    <t>1) «Карточки»: новая строка, id вида 'тема-год' (латиница, строчные, дефис). 2) «Тексты»: строка с тем же id. 3) «Места»: строка с тем же id. 4) «Источники»: по строке на источник. Колонка «Проверка» покажет, что осталось.</t>
  </si>
  <si>
    <t>Сортировка и фильтры</t>
  </si>
  <si>
    <t>Сортируйте и фильтруйте каждый лист отдельно по стрелкам в шапке, захватывая всю таблицу. Листы связаны по id, не по номеру строки, поэтому сортировка их не ломает.</t>
  </si>
  <si>
    <t>идея → факты → источники → черновик → перевод PT → вычитка носителем → рецензия историка → готово. Только «готово» попадёт на сайт как ready, и только при заполненных рецензенте и дате.</t>
  </si>
  <si>
    <t>Счёт слов</t>
  </si>
  <si>
    <t>Лимиты с 16.10.2026: крючок до 12 слов, история 40–90, «Подробнее» до 250 (расширены по замечанию владельца; spec §7 надо поправить). Абзацы в «Подробнее» разделяются пустой строкой (Alt+Enter дважды). Счёт простой, по пробелам и переносам строк; сборка может посчитать чуть иначе: держите запас 3–5 слов.</t>
  </si>
  <si>
    <t>Источники</t>
  </si>
  <si>
    <t>Статус «нашли» значит источник прочитан. Для каркаса нужно минимум 2, для истории минимум 1 (spec §7). «Искать» это очередь поиска, она в YAML не попадает.</t>
  </si>
  <si>
    <t>Лист «Сводка» показывает, какие нити набрали порог (по умолчанию 5 карточек «готово») и хватит ли материала по плану. Сейчас на материале MVP набирается плохо: см. красные строки.</t>
  </si>
  <si>
    <t>Кандидаты</t>
  </si>
  <si>
    <t>Список из Приложения А design-документа с моей разметкой эпох и нитей, плюс четыре гипотезы (пометка «гипотеза ⚠», не проверено). «В MVP?» вводится вручную.</t>
  </si>
  <si>
    <t>Выгрузка в YAML</t>
  </si>
  <si>
    <t>python export_yaml.py historias.xlsx путь/к/src/content/events. Нужны Python 3 и пакеты openpyxl, pyyaml. Скрипт выгружает все строки Карточек (draft и ready) и печатает предупреждения.</t>
  </si>
  <si>
    <t>Допущения</t>
  </si>
  <si>
    <t>Порог нити 5 и цель каркаса 5 взяты из spec §7 и design §6. Статусы работы, типы источников и поля для рецензента придуманы мной под эту таблицу. Формулы проверяют правила spec §7, но не заменяют сборку и вычитку.</t>
  </si>
  <si>
    <t>Пилотные карточки</t>
  </si>
  <si>
    <t>Три строки (носорог, Алжубарроту, 1755) заполнены реальными черновиками. Их можно править или заменить. Пример строки для «Картинок» помечен ПРИМЕР и подлежит удалению.</t>
  </si>
  <si>
    <t>Языки</t>
  </si>
  <si>
    <t>PT, EN и RU. Русский добавлен 16.10.2026 как рабочий язык владельца для вычитки и фактчекинга: поля RU есть в листах «Тексты», «Места» и «Картинки», лимиты слов и проверка те же. На сайте RU появится после добавления переключателя; пока в схеме данных он третий язык рядом с PT и EN. RU-слаги написаны латиницей (транслитерация), как требует spec §4.</t>
  </si>
  <si>
    <t>Эпохи (slug)</t>
  </si>
  <si>
    <t>Нити (slug)</t>
  </si>
  <si>
    <t>Да/нет</t>
  </si>
  <si>
    <t>Тип источника</t>
  </si>
  <si>
    <t>Интерактив</t>
  </si>
  <si>
    <t>Статус источника</t>
  </si>
  <si>
    <t>Статус кандидата</t>
  </si>
  <si>
    <t>Проверено</t>
  </si>
  <si>
    <t>Годы</t>
  </si>
  <si>
    <t>MVP</t>
  </si>
  <si>
    <t>идея</t>
  </si>
  <si>
    <t>Пролог: задолго до людей</t>
  </si>
  <si>
    <t>факты</t>
  </si>
  <si>
    <t>ship_scale</t>
  </si>
  <si>
    <t>в работе</t>
  </si>
  <si>
    <t>Лузитания и Рим</t>
  </si>
  <si>
    <t>до V в.</t>
  </si>
  <si>
    <t>debated</t>
  </si>
  <si>
    <t>16</t>
  </si>
  <si>
    <t>источники</t>
  </si>
  <si>
    <t>Свевы, вестготы и мавры</t>
  </si>
  <si>
    <t>V–XII вв.</t>
  </si>
  <si>
    <t>отклонено</t>
  </si>
  <si>
    <t>Рождение королевства и Реконкиста</t>
  </si>
  <si>
    <t>1139–1249</t>
  </si>
  <si>
    <t>перевод PT</t>
  </si>
  <si>
    <t>1385–1580</t>
  </si>
  <si>
    <t>вычитка носителем</t>
  </si>
  <si>
    <t>Уния, Реставрация и золото Бразилии</t>
  </si>
  <si>
    <t>1580–1750</t>
  </si>
  <si>
    <t>рецензия историка</t>
  </si>
  <si>
    <t>1755–1820</t>
  </si>
  <si>
    <t>готово</t>
  </si>
  <si>
    <t>Монархия и Республика</t>
  </si>
  <si>
    <t>1820–1926</t>
  </si>
  <si>
    <t>1926–1974</t>
  </si>
  <si>
    <t>Современность: ЕС и эмиграция</t>
  </si>
  <si>
    <t>1974 – наши дни</t>
  </si>
  <si>
    <t>Эпохи 3 и 4 не стыкуются (1249–1385), как и 5 и 6 (1750–1755): события из этих промежутков (например, 1297) пока не попадают ни в одну эпоху.</t>
  </si>
  <si>
    <t>сделано</t>
  </si>
  <si>
    <t>Documented</t>
  </si>
  <si>
    <t>Я бы что-то с численным превосходством сделал, чтобы показать их крутыми</t>
  </si>
  <si>
    <t>Не тяжелая</t>
  </si>
  <si>
    <t>Да</t>
  </si>
  <si>
    <t>Оставляем мы</t>
  </si>
  <si>
    <t>Если это как-то связано - можно указать, только добавить примечание к мосту как связано именно</t>
  </si>
  <si>
    <t>Где посмотреть? Не увидел у тебя нигде</t>
  </si>
  <si>
    <t>А это нужно, как думаешь? Какие практики, исходя из целей и ЦА моего проекта? Нужно ли это к каждому изображению писать?</t>
  </si>
  <si>
    <t xml:space="preserve">Принять, гораздо лучше. </t>
  </si>
  <si>
    <t>Да, сдоработками. В файле отзыв оставил</t>
  </si>
  <si>
    <t>1. Ты не дал мне этот скрипт. 2. Не могу определиться концептуальнО, нужно ли использовать такие картинки или интереснее генерированные в стиле азулеже или моем? Исходя из кконцепции проекта - твои рекомендации</t>
  </si>
  <si>
    <t>Я не смогу это сделать. Будем обкаытвать уже в реале и надеяться, что ИИ адекватно переведет</t>
  </si>
  <si>
    <t>Museu de Marinha</t>
  </si>
  <si>
    <t>Torre de Belém</t>
  </si>
  <si>
    <t>Monumento de Lagoa Henriques</t>
  </si>
  <si>
    <t>Elvas, a praça-forte que travou Godoy</t>
  </si>
  <si>
    <t>Centro de Interpretação da Batalha de Aljubarrota</t>
  </si>
  <si>
    <t>Alminhas da Ponte</t>
  </si>
  <si>
    <t>1. Сайт объекта давай не будем указывать. Сайты часто меняются, кто захочет - перейдет в гугл карты и найдет. Что думаешь? Или я не прав?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</si>
</sst>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name val="Arial"/>
      <charset val="1"/>
    </font>
    <font>
      <sz val="10"/>
      <color rgb="FF444444"/>
      <name val="Arial"/>
      <charset val="1"/>
    </font>
    <font>
      <b/>
      <sz val="10"/>
      <color rgb="FFFFFFFF"/>
      <name val="Arial"/>
      <charset val="1"/>
    </font>
    <font>
      <b/>
      <sz val="10"/>
      <name val="Arial"/>
      <charset val="1"/>
    </font>
    <font>
      <sz val="10"/>
      <name val="Arial"/>
      <charset val="1"/>
    </font>
    <font>
      <b/>
      <sz val="13"/>
      <name val="Arial"/>
      <charset val="1"/>
    </font>
    <font>
      <b/>
      <sz val="14"/>
      <name val="Arial"/>
      <charset val="1"/>
    </font>
    <font>
      <sz val="9"/>
      <color rgb="FF666666"/>
      <name val="Arial"/>
      <charset val="1"/>
    </font>
    <font>
      <b/>
      <sz val="12"/>
      <name val="Arial"/>
      <charset val="1"/>
    </font>
    <font>
      <sz val="10"/>
      <name val="Arial"/>
      <family val="2"/>
    </font>
    <font>
      <i/>
      <sz val="10"/>
      <color rgb="FF888888"/>
      <name val="Arial"/>
      <charset val="1"/>
    </font>
    <font>
      <sz val="11"/>
      <color theme="1"/>
      <name val="Arial"/>
      <charset val="1"/>
    </font>
    <font>
      <u/>
      <sz val="11"/>
      <color theme="10"/>
      <name val="Calibri"/>
      <family val="2"/>
      <charset val="1"/>
    </font>
  </fonts>
  <fills count="5">
    <fill>
      <patternFill patternType="none"/>
    </fill>
    <fill>
      <patternFill patternType="gray125"/>
    </fill>
    <fill>
      <patternFill patternType="solid">
        <fgColor rgb="FF2F4858"/>
        <bgColor rgb="FF444444"/>
      </patternFill>
    </fill>
    <fill>
      <patternFill patternType="solid">
        <fgColor rgb="FFFFF8DC"/>
        <bgColor rgb="FFFFFFFF"/>
      </patternFill>
    </fill>
    <fill>
      <patternFill patternType="solid">
        <fgColor rgb="FFE9E9E9"/>
        <bgColor rgb="FFFADBD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3" fillId="0" borderId="0" applyNumberFormat="0" applyFill="0" applyBorder="0" applyAlignment="0" applyProtection="0"/>
  </cellStyleXfs>
  <cellXfs count="39">
    <xf numFmtId="0" fontId="0" fillId="0" borderId="0" xfId="0"/>
    <xf numFmtId="0" fontId="5" fillId="0" borderId="0" xfId="0" applyFont="1" applyBorder="1" applyAlignment="1">
      <alignment vertical="top" wrapText="1"/>
    </xf>
    <xf numFmtId="0" fontId="2" fillId="0" borderId="0" xfId="0" applyFont="1" applyBorder="1" applyAlignment="1">
      <alignment vertical="top" wrapText="1"/>
    </xf>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5" fillId="3" borderId="1" xfId="0" applyFont="1" applyFill="1" applyBorder="1" applyAlignment="1">
      <alignment horizontal="center" vertical="top"/>
    </xf>
    <xf numFmtId="0" fontId="6" fillId="0" borderId="0" xfId="0" applyFont="1"/>
    <xf numFmtId="0" fontId="0" fillId="0" borderId="0" xfId="0" applyAlignment="1">
      <alignment horizontal="center" vertical="top"/>
    </xf>
    <xf numFmtId="0" fontId="5" fillId="0" borderId="0" xfId="0" applyFont="1" applyAlignment="1">
      <alignment vertical="top" wrapText="1"/>
    </xf>
    <xf numFmtId="0" fontId="5" fillId="3" borderId="1" xfId="0" applyFont="1" applyFill="1" applyBorder="1" applyAlignment="1">
      <alignment vertical="top" wrapText="1"/>
    </xf>
    <xf numFmtId="0" fontId="7" fillId="0" borderId="0" xfId="0" applyFont="1"/>
    <xf numFmtId="0" fontId="8" fillId="0" borderId="0" xfId="0" applyFont="1"/>
    <xf numFmtId="0" fontId="4" fillId="0" borderId="1" xfId="0" applyFont="1" applyBorder="1" applyAlignment="1">
      <alignment vertical="top" wrapText="1"/>
    </xf>
    <xf numFmtId="0" fontId="9" fillId="0" borderId="0" xfId="0" applyFont="1"/>
    <xf numFmtId="0" fontId="5" fillId="0" borderId="0" xfId="0" applyFont="1" applyAlignment="1">
      <alignment horizontal="center" vertical="top"/>
    </xf>
    <xf numFmtId="0" fontId="0" fillId="0" borderId="0" xfId="0" applyAlignment="1"/>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4" borderId="1" xfId="0" applyFont="1" applyFill="1" applyBorder="1" applyAlignment="1">
      <alignment vertical="top" wrapText="1"/>
    </xf>
    <xf numFmtId="0" fontId="5" fillId="4" borderId="1" xfId="0" applyFont="1" applyFill="1" applyBorder="1" applyAlignment="1">
      <alignment vertical="top" wrapText="1"/>
    </xf>
    <xf numFmtId="0" fontId="11" fillId="3" borderId="1" xfId="0" applyFont="1" applyFill="1" applyBorder="1" applyAlignment="1">
      <alignment vertical="top" wrapText="1"/>
    </xf>
    <xf numFmtId="0" fontId="11" fillId="3" borderId="1" xfId="0" applyFont="1" applyFill="1" applyBorder="1" applyAlignment="1">
      <alignment horizontal="center" vertical="top" wrapText="1"/>
    </xf>
    <xf numFmtId="0" fontId="7" fillId="0" borderId="0" xfId="0" applyFont="1" applyAlignment="1"/>
    <xf numFmtId="0" fontId="12" fillId="0" borderId="0" xfId="0" applyFont="1" applyAlignment="1"/>
    <xf numFmtId="0" fontId="4" fillId="0" borderId="0" xfId="0" applyFont="1" applyAlignment="1"/>
    <xf numFmtId="0" fontId="5" fillId="3" borderId="1" xfId="0" applyFont="1" applyFill="1" applyBorder="1" applyAlignment="1"/>
    <xf numFmtId="0" fontId="9" fillId="0" borderId="0" xfId="0" applyFont="1" applyAlignment="1"/>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center" vertical="center"/>
    </xf>
    <xf numFmtId="0" fontId="8" fillId="0" borderId="0" xfId="0" applyFont="1" applyAlignment="1"/>
    <xf numFmtId="0" fontId="4" fillId="0" borderId="0" xfId="0" applyFont="1" applyAlignment="1">
      <alignment horizontal="center"/>
    </xf>
    <xf numFmtId="0" fontId="5" fillId="0" borderId="0" xfId="0" applyFont="1" applyAlignment="1"/>
    <xf numFmtId="0" fontId="4" fillId="0" borderId="0" xfId="0" applyFont="1" applyAlignment="1">
      <alignment vertical="top" wrapText="1"/>
    </xf>
    <xf numFmtId="0" fontId="3" fillId="2" borderId="0" xfId="0" applyFont="1" applyFill="1" applyAlignment="1"/>
    <xf numFmtId="0" fontId="13" fillId="3" borderId="1" xfId="1" applyFill="1" applyBorder="1" applyAlignment="1">
      <alignment vertical="top" wrapText="1"/>
    </xf>
  </cellXfs>
  <cellStyles count="2">
    <cellStyle name="Гиперссылка" xfId="1" builtinId="8"/>
    <cellStyle name="Обычный" xfId="0" builtinId="0"/>
  </cellStyles>
  <dxfs count="18">
    <dxf>
      <font>
        <b/>
        <sz val="10"/>
        <color rgb="FFB03A2E"/>
        <name val="Arial"/>
        <charset val="1"/>
      </font>
    </dxf>
    <dxf>
      <font>
        <b/>
        <sz val="10"/>
        <color rgb="FF1B7F3B"/>
        <name val="Arial"/>
        <charset val="1"/>
      </font>
    </dxf>
    <dxf>
      <font>
        <b/>
        <sz val="10"/>
        <color rgb="FFB03A2E"/>
        <name val="Arial"/>
        <charset val="1"/>
      </font>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ill>
        <patternFill>
          <bgColor rgb="FFF5B7B1"/>
        </patternFill>
      </fill>
    </dxf>
    <dxf>
      <font>
        <sz val="10"/>
        <color rgb="FFB03A2E"/>
        <name val="Arial"/>
        <charset val="1"/>
      </font>
    </dxf>
    <dxf>
      <font>
        <b/>
        <sz val="10"/>
        <color rgb="FF1B7F3B"/>
        <name val="Arial"/>
        <charset val="1"/>
      </font>
    </dxf>
    <dxf>
      <font>
        <b/>
        <sz val="10"/>
        <color rgb="FF1B7F3B"/>
        <name val="Arial"/>
        <charset val="1"/>
      </font>
    </dxf>
    <dxf>
      <font>
        <b/>
        <sz val="10"/>
        <color rgb="FF1B7F3B"/>
        <name val="Arial"/>
        <charset val="1"/>
      </font>
    </dxf>
    <dxf>
      <font>
        <b/>
        <sz val="10"/>
        <color rgb="FF1B7F3B"/>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7F3B"/>
      <rgbColor rgb="FF000080"/>
      <rgbColor rgb="FF808000"/>
      <rgbColor rgb="FF800080"/>
      <rgbColor rgb="FF008080"/>
      <rgbColor rgb="FFCCCCCC"/>
      <rgbColor rgb="FF888888"/>
      <rgbColor rgb="FF9999FF"/>
      <rgbColor rgb="FF993366"/>
      <rgbColor rgb="FFFFF8DC"/>
      <rgbColor rgb="FFE9E9E9"/>
      <rgbColor rgb="FF660066"/>
      <rgbColor rgb="FFFF8080"/>
      <rgbColor rgb="FF0066CC"/>
      <rgbColor rgb="FFFADB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5B7B1"/>
      <rgbColor rgb="FF3366FF"/>
      <rgbColor rgb="FF33CCCC"/>
      <rgbColor rgb="FF99CC00"/>
      <rgbColor rgb="FFFFCC00"/>
      <rgbColor rgb="FFFF9900"/>
      <rgbColor rgb="FFFF6600"/>
      <rgbColor rgb="FF666666"/>
      <rgbColor rgb="FF969696"/>
      <rgbColor rgb="FF003366"/>
      <rgbColor rgb="FF339966"/>
      <rgbColor rgb="FF003300"/>
      <rgbColor rgb="FF333300"/>
      <rgbColor rgb="FFB03A2E"/>
      <rgbColor rgb="FF993366"/>
      <rgbColor rgb="FF2F4858"/>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hyperlink" Target="https://artsandculture.google.com/asset/UAEBttK6SJXIgA" TargetMode="External"/><Relationship Id="rId1" Type="http://schemas.openxmlformats.org/officeDocument/2006/relationships/hyperlink" Target="https://commons.wikimedia.org/wiki/File:Cantino_planisphere_(1502).jpg"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zoomScaleNormal="100" workbookViewId="0">
      <pane ySplit="4" topLeftCell="A5" activePane="bottomLeft" state="frozen"/>
      <selection pane="bottomLeft" activeCell="B12" sqref="B12"/>
    </sheetView>
  </sheetViews>
  <sheetFormatPr defaultColWidth="8.7109375" defaultRowHeight="15" x14ac:dyDescent="0.25"/>
  <cols>
    <col min="1" max="1" width="7" customWidth="1"/>
    <col min="2" max="2" width="70" customWidth="1"/>
    <col min="3" max="3" width="48" customWidth="1"/>
    <col min="4" max="4" width="12" customWidth="1"/>
    <col min="5" max="5" width="11" customWidth="1"/>
    <col min="6" max="6" width="22" customWidth="1"/>
  </cols>
  <sheetData>
    <row r="1" spans="1:6" ht="20.25" x14ac:dyDescent="0.3">
      <c r="A1" s="3" t="s">
        <v>0</v>
      </c>
    </row>
    <row r="2" spans="1:6" ht="30" customHeight="1" x14ac:dyDescent="0.25">
      <c r="A2" s="2" t="s">
        <v>1</v>
      </c>
      <c r="B2" s="2"/>
      <c r="C2" s="2"/>
      <c r="D2" s="2"/>
      <c r="E2" s="2"/>
      <c r="F2" s="2"/>
    </row>
    <row r="4" spans="1:6" x14ac:dyDescent="0.25">
      <c r="A4" s="4" t="s">
        <v>2</v>
      </c>
      <c r="B4" s="4" t="s">
        <v>3</v>
      </c>
      <c r="C4" s="4" t="s">
        <v>4</v>
      </c>
      <c r="D4" s="4" t="s">
        <v>5</v>
      </c>
      <c r="E4" s="4" t="s">
        <v>6</v>
      </c>
      <c r="F4" s="4" t="s">
        <v>7</v>
      </c>
    </row>
    <row r="5" spans="1:6" ht="78" customHeight="1" x14ac:dyDescent="0.25">
      <c r="A5" s="5">
        <v>1</v>
      </c>
      <c r="B5" s="6" t="s">
        <v>8</v>
      </c>
      <c r="C5" s="6" t="s">
        <v>9</v>
      </c>
      <c r="D5" s="7" t="s">
        <v>10</v>
      </c>
      <c r="E5" s="7" t="s">
        <v>11</v>
      </c>
      <c r="F5" s="8" t="s">
        <v>1267</v>
      </c>
    </row>
    <row r="6" spans="1:6" ht="78" customHeight="1" x14ac:dyDescent="0.25">
      <c r="A6" s="5">
        <v>2</v>
      </c>
      <c r="B6" s="6" t="s">
        <v>13</v>
      </c>
      <c r="C6" s="6" t="s">
        <v>14</v>
      </c>
      <c r="D6" s="7" t="s">
        <v>10</v>
      </c>
      <c r="E6" s="7" t="s">
        <v>15</v>
      </c>
      <c r="F6" s="8" t="s">
        <v>1267</v>
      </c>
    </row>
    <row r="7" spans="1:6" ht="78" customHeight="1" x14ac:dyDescent="0.25">
      <c r="A7" s="5">
        <v>3</v>
      </c>
      <c r="B7" s="6" t="s">
        <v>16</v>
      </c>
      <c r="C7" s="6" t="s">
        <v>17</v>
      </c>
      <c r="D7" s="7" t="s">
        <v>18</v>
      </c>
      <c r="E7" s="7" t="s">
        <v>11</v>
      </c>
      <c r="F7" s="8" t="s">
        <v>1278</v>
      </c>
    </row>
    <row r="8" spans="1:6" ht="78" customHeight="1" x14ac:dyDescent="0.25">
      <c r="A8" s="5">
        <v>4</v>
      </c>
      <c r="B8" s="6" t="s">
        <v>19</v>
      </c>
      <c r="C8" s="6" t="s">
        <v>20</v>
      </c>
      <c r="D8" s="7" t="s">
        <v>10</v>
      </c>
      <c r="E8" s="7" t="s">
        <v>11</v>
      </c>
      <c r="F8" s="8" t="s">
        <v>1286</v>
      </c>
    </row>
    <row r="9" spans="1:6" ht="78" customHeight="1" x14ac:dyDescent="0.25">
      <c r="A9" s="5">
        <v>5</v>
      </c>
      <c r="B9" s="6" t="s">
        <v>21</v>
      </c>
      <c r="C9" s="6" t="s">
        <v>22</v>
      </c>
      <c r="D9" s="7" t="s">
        <v>23</v>
      </c>
      <c r="E9" s="7" t="s">
        <v>24</v>
      </c>
      <c r="F9" s="8" t="s">
        <v>12</v>
      </c>
    </row>
    <row r="10" spans="1:6" ht="78" customHeight="1" x14ac:dyDescent="0.25">
      <c r="A10" s="5">
        <v>6</v>
      </c>
      <c r="B10" s="6" t="s">
        <v>25</v>
      </c>
      <c r="C10" s="6" t="s">
        <v>26</v>
      </c>
      <c r="D10" s="7" t="s">
        <v>10</v>
      </c>
      <c r="E10" s="7" t="s">
        <v>15</v>
      </c>
      <c r="F10" s="8" t="s">
        <v>1279</v>
      </c>
    </row>
    <row r="11" spans="1:6" ht="78" customHeight="1" x14ac:dyDescent="0.25">
      <c r="A11" s="5">
        <v>7</v>
      </c>
      <c r="B11" s="6" t="s">
        <v>27</v>
      </c>
      <c r="C11" s="6" t="s">
        <v>28</v>
      </c>
      <c r="D11" s="7" t="s">
        <v>10</v>
      </c>
      <c r="E11" s="7" t="s">
        <v>15</v>
      </c>
      <c r="F11" s="8" t="s">
        <v>1267</v>
      </c>
    </row>
    <row r="12" spans="1:6" ht="78" customHeight="1" x14ac:dyDescent="0.25">
      <c r="A12" s="5">
        <v>8</v>
      </c>
      <c r="B12" s="6" t="s">
        <v>29</v>
      </c>
      <c r="C12" s="6" t="s">
        <v>28</v>
      </c>
      <c r="D12" s="7" t="s">
        <v>30</v>
      </c>
      <c r="E12" s="7" t="s">
        <v>15</v>
      </c>
      <c r="F12" s="8" t="s">
        <v>1242</v>
      </c>
    </row>
    <row r="14" spans="1:6" ht="16.5" x14ac:dyDescent="0.25">
      <c r="A14" s="9" t="s">
        <v>31</v>
      </c>
    </row>
    <row r="15" spans="1:6" x14ac:dyDescent="0.25">
      <c r="A15" s="4" t="s">
        <v>32</v>
      </c>
      <c r="B15" s="4" t="s">
        <v>33</v>
      </c>
      <c r="C15" s="4" t="s">
        <v>34</v>
      </c>
      <c r="D15" s="4"/>
      <c r="E15" s="4"/>
      <c r="F15" s="4" t="s">
        <v>35</v>
      </c>
    </row>
    <row r="16" spans="1:6" ht="43.5" customHeight="1" x14ac:dyDescent="0.25">
      <c r="A16" s="10">
        <v>1</v>
      </c>
      <c r="B16" s="11" t="s">
        <v>36</v>
      </c>
      <c r="C16" s="1" t="s">
        <v>37</v>
      </c>
      <c r="D16" s="1"/>
      <c r="E16" s="1"/>
      <c r="F16" s="12" t="s">
        <v>1268</v>
      </c>
    </row>
    <row r="17" spans="1:6" ht="43.5" customHeight="1" x14ac:dyDescent="0.25">
      <c r="A17" s="10">
        <v>2</v>
      </c>
      <c r="B17" s="11" t="s">
        <v>38</v>
      </c>
      <c r="C17" s="1" t="s">
        <v>39</v>
      </c>
      <c r="D17" s="1"/>
      <c r="E17" s="1"/>
      <c r="F17" s="12" t="s">
        <v>1269</v>
      </c>
    </row>
    <row r="18" spans="1:6" ht="43.5" customHeight="1" x14ac:dyDescent="0.25">
      <c r="A18" s="10">
        <v>3</v>
      </c>
      <c r="B18" s="11" t="s">
        <v>40</v>
      </c>
      <c r="C18" s="1" t="s">
        <v>12</v>
      </c>
      <c r="D18" s="1"/>
      <c r="E18" s="1"/>
      <c r="F18" s="12" t="s">
        <v>1270</v>
      </c>
    </row>
    <row r="19" spans="1:6" ht="43.5" customHeight="1" x14ac:dyDescent="0.25">
      <c r="A19" s="10">
        <v>4</v>
      </c>
      <c r="B19" s="11" t="s">
        <v>41</v>
      </c>
      <c r="C19" s="1" t="s">
        <v>42</v>
      </c>
      <c r="D19" s="1"/>
      <c r="E19" s="1"/>
      <c r="F19" s="12" t="s">
        <v>1271</v>
      </c>
    </row>
    <row r="20" spans="1:6" ht="43.5" customHeight="1" x14ac:dyDescent="0.25">
      <c r="A20" s="10">
        <v>5</v>
      </c>
      <c r="B20" s="11" t="s">
        <v>43</v>
      </c>
      <c r="C20" s="1" t="s">
        <v>44</v>
      </c>
      <c r="D20" s="1"/>
      <c r="E20" s="1"/>
      <c r="F20" s="12" t="s">
        <v>1272</v>
      </c>
    </row>
    <row r="21" spans="1:6" ht="43.5" customHeight="1" x14ac:dyDescent="0.25">
      <c r="A21" s="10">
        <v>6</v>
      </c>
      <c r="B21" s="11" t="s">
        <v>45</v>
      </c>
      <c r="C21" s="1" t="s">
        <v>46</v>
      </c>
      <c r="D21" s="1"/>
      <c r="E21" s="1"/>
      <c r="F21" s="12" t="s">
        <v>1273</v>
      </c>
    </row>
    <row r="22" spans="1:6" ht="43.5" customHeight="1" x14ac:dyDescent="0.25">
      <c r="A22" s="10">
        <v>7</v>
      </c>
      <c r="B22" s="11" t="s">
        <v>47</v>
      </c>
      <c r="C22" s="1" t="s">
        <v>48</v>
      </c>
      <c r="D22" s="1"/>
      <c r="E22" s="1"/>
      <c r="F22" s="12" t="s">
        <v>1274</v>
      </c>
    </row>
    <row r="23" spans="1:6" ht="43.5" customHeight="1" x14ac:dyDescent="0.25">
      <c r="A23" s="10">
        <v>8</v>
      </c>
      <c r="B23" s="11" t="s">
        <v>49</v>
      </c>
      <c r="C23" s="1" t="s">
        <v>39</v>
      </c>
      <c r="D23" s="1"/>
      <c r="E23" s="1"/>
      <c r="F23" s="12" t="s">
        <v>1275</v>
      </c>
    </row>
    <row r="24" spans="1:6" ht="43.5" customHeight="1" x14ac:dyDescent="0.25">
      <c r="A24" s="10">
        <v>9</v>
      </c>
      <c r="B24" s="11" t="s">
        <v>50</v>
      </c>
      <c r="C24" s="1" t="s">
        <v>51</v>
      </c>
      <c r="D24" s="1"/>
      <c r="E24" s="1"/>
      <c r="F24" s="12" t="s">
        <v>1276</v>
      </c>
    </row>
    <row r="25" spans="1:6" ht="43.5" customHeight="1" x14ac:dyDescent="0.25">
      <c r="A25" s="10">
        <v>10</v>
      </c>
      <c r="B25" s="11" t="s">
        <v>52</v>
      </c>
      <c r="C25" s="1" t="s">
        <v>42</v>
      </c>
      <c r="D25" s="1"/>
      <c r="E25" s="1"/>
      <c r="F25" s="12" t="s">
        <v>1277</v>
      </c>
    </row>
  </sheetData>
  <mergeCells count="11">
    <mergeCell ref="C25:E25"/>
    <mergeCell ref="C20:E20"/>
    <mergeCell ref="C21:E21"/>
    <mergeCell ref="C22:E22"/>
    <mergeCell ref="C23:E23"/>
    <mergeCell ref="C24:E24"/>
    <mergeCell ref="A2:F2"/>
    <mergeCell ref="C16:E16"/>
    <mergeCell ref="C17:E17"/>
    <mergeCell ref="C18:E18"/>
    <mergeCell ref="C19:E19"/>
  </mergeCells>
  <conditionalFormatting sqref="F5:F12">
    <cfRule type="cellIs" dxfId="17" priority="2" operator="equal">
      <formula>"сделано"</formula>
    </cfRule>
  </conditionalFormatting>
  <dataValidations count="1">
    <dataValidation type="list" allowBlank="1" sqref="F5:F12" xr:uid="{00000000-0002-0000-0000-000000000000}">
      <formula1>"нет,в работе,сделано"</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zoomScaleNormal="100" workbookViewId="0">
      <pane xSplit="1" ySplit="4" topLeftCell="B17" activePane="bottomRight" state="frozen"/>
      <selection pane="topRight" activeCell="B1" sqref="B1"/>
      <selection pane="bottomLeft" activeCell="A5" sqref="A5"/>
      <selection pane="bottomRight" activeCell="A28" sqref="A28"/>
    </sheetView>
  </sheetViews>
  <sheetFormatPr defaultColWidth="8.7109375" defaultRowHeight="15" x14ac:dyDescent="0.25"/>
  <cols>
    <col min="1" max="1" width="24" customWidth="1"/>
    <col min="2" max="2" width="11" customWidth="1"/>
    <col min="3" max="4" width="44" customWidth="1"/>
    <col min="5" max="5" width="52" customWidth="1"/>
    <col min="6" max="6" width="34" customWidth="1"/>
    <col min="7" max="7" width="12" customWidth="1"/>
  </cols>
  <sheetData>
    <row r="1" spans="1:7" ht="18" x14ac:dyDescent="0.25">
      <c r="A1" s="13" t="s">
        <v>53</v>
      </c>
    </row>
    <row r="2" spans="1:7" x14ac:dyDescent="0.25">
      <c r="A2" s="14" t="s">
        <v>54</v>
      </c>
    </row>
    <row r="4" spans="1:7" ht="30" customHeight="1" x14ac:dyDescent="0.25">
      <c r="A4" s="4" t="s">
        <v>55</v>
      </c>
      <c r="B4" s="4" t="s">
        <v>56</v>
      </c>
      <c r="C4" s="4" t="s">
        <v>57</v>
      </c>
      <c r="D4" s="4" t="s">
        <v>58</v>
      </c>
      <c r="E4" s="4" t="s">
        <v>59</v>
      </c>
      <c r="F4" s="4" t="s">
        <v>60</v>
      </c>
      <c r="G4" s="4" t="s">
        <v>7</v>
      </c>
    </row>
    <row r="5" spans="1:7" ht="103.5" customHeight="1" x14ac:dyDescent="0.25">
      <c r="A5" s="15" t="s">
        <v>61</v>
      </c>
      <c r="B5" s="6" t="s">
        <v>62</v>
      </c>
      <c r="C5" s="6" t="s">
        <v>63</v>
      </c>
      <c r="D5" s="6" t="s">
        <v>64</v>
      </c>
      <c r="E5" s="6" t="s">
        <v>65</v>
      </c>
      <c r="F5" s="6" t="s">
        <v>66</v>
      </c>
      <c r="G5" s="8" t="s">
        <v>12</v>
      </c>
    </row>
    <row r="6" spans="1:7" ht="103.5" customHeight="1" x14ac:dyDescent="0.25">
      <c r="A6" s="15" t="s">
        <v>67</v>
      </c>
      <c r="B6" s="6" t="s">
        <v>62</v>
      </c>
      <c r="C6" s="6" t="s">
        <v>68</v>
      </c>
      <c r="D6" s="6" t="s">
        <v>69</v>
      </c>
      <c r="E6" s="6" t="s">
        <v>70</v>
      </c>
      <c r="F6" s="6" t="s">
        <v>71</v>
      </c>
      <c r="G6" s="8" t="s">
        <v>12</v>
      </c>
    </row>
    <row r="7" spans="1:7" ht="103.5" customHeight="1" x14ac:dyDescent="0.25">
      <c r="A7" s="15" t="s">
        <v>72</v>
      </c>
      <c r="B7" s="6" t="s">
        <v>62</v>
      </c>
      <c r="C7" s="6" t="s">
        <v>73</v>
      </c>
      <c r="D7" s="6" t="s">
        <v>74</v>
      </c>
      <c r="E7" s="6" t="s">
        <v>75</v>
      </c>
      <c r="F7" s="6" t="s">
        <v>76</v>
      </c>
      <c r="G7" s="8" t="s">
        <v>12</v>
      </c>
    </row>
    <row r="8" spans="1:7" ht="103.5" customHeight="1" x14ac:dyDescent="0.25">
      <c r="A8" s="15" t="s">
        <v>77</v>
      </c>
      <c r="B8" s="6" t="s">
        <v>62</v>
      </c>
      <c r="C8" s="6" t="s">
        <v>78</v>
      </c>
      <c r="D8" s="6" t="s">
        <v>79</v>
      </c>
      <c r="E8" s="6" t="s">
        <v>80</v>
      </c>
      <c r="F8" s="6" t="s">
        <v>81</v>
      </c>
      <c r="G8" s="8" t="s">
        <v>12</v>
      </c>
    </row>
    <row r="9" spans="1:7" ht="103.5" customHeight="1" x14ac:dyDescent="0.25">
      <c r="A9" s="15" t="s">
        <v>82</v>
      </c>
      <c r="B9" s="6" t="s">
        <v>62</v>
      </c>
      <c r="C9" s="6" t="s">
        <v>83</v>
      </c>
      <c r="D9" s="6" t="s">
        <v>84</v>
      </c>
      <c r="E9" s="6" t="s">
        <v>85</v>
      </c>
      <c r="F9" s="6" t="s">
        <v>86</v>
      </c>
      <c r="G9" s="8" t="s">
        <v>12</v>
      </c>
    </row>
    <row r="10" spans="1:7" ht="103.5" customHeight="1" x14ac:dyDescent="0.25">
      <c r="A10" s="15" t="s">
        <v>87</v>
      </c>
      <c r="B10" s="6" t="s">
        <v>62</v>
      </c>
      <c r="C10" s="6" t="s">
        <v>88</v>
      </c>
      <c r="D10" s="6" t="s">
        <v>89</v>
      </c>
      <c r="E10" s="6" t="s">
        <v>90</v>
      </c>
      <c r="F10" s="6" t="s">
        <v>91</v>
      </c>
      <c r="G10" s="8" t="s">
        <v>12</v>
      </c>
    </row>
    <row r="11" spans="1:7" ht="103.5" customHeight="1" x14ac:dyDescent="0.25">
      <c r="A11" s="15" t="s">
        <v>92</v>
      </c>
      <c r="B11" s="6" t="s">
        <v>62</v>
      </c>
      <c r="C11" s="6" t="s">
        <v>93</v>
      </c>
      <c r="D11" s="6" t="s">
        <v>94</v>
      </c>
      <c r="E11" s="6" t="s">
        <v>95</v>
      </c>
      <c r="F11" s="6" t="s">
        <v>96</v>
      </c>
      <c r="G11" s="8" t="s">
        <v>12</v>
      </c>
    </row>
    <row r="12" spans="1:7" ht="103.5" customHeight="1" x14ac:dyDescent="0.25">
      <c r="A12" s="15" t="s">
        <v>97</v>
      </c>
      <c r="B12" s="6" t="s">
        <v>62</v>
      </c>
      <c r="C12" s="6" t="s">
        <v>98</v>
      </c>
      <c r="D12" s="6" t="s">
        <v>99</v>
      </c>
      <c r="E12" s="6" t="s">
        <v>100</v>
      </c>
      <c r="F12" s="6" t="s">
        <v>101</v>
      </c>
      <c r="G12" s="8" t="s">
        <v>12</v>
      </c>
    </row>
    <row r="13" spans="1:7" ht="103.5" customHeight="1" x14ac:dyDescent="0.25">
      <c r="A13" s="15" t="s">
        <v>102</v>
      </c>
      <c r="B13" s="6" t="s">
        <v>62</v>
      </c>
      <c r="C13" s="6" t="s">
        <v>103</v>
      </c>
      <c r="D13" s="6" t="s">
        <v>104</v>
      </c>
      <c r="E13" s="6" t="s">
        <v>105</v>
      </c>
      <c r="F13" s="6" t="s">
        <v>106</v>
      </c>
      <c r="G13" s="8" t="s">
        <v>12</v>
      </c>
    </row>
    <row r="14" spans="1:7" ht="103.5" customHeight="1" x14ac:dyDescent="0.25">
      <c r="A14" s="15" t="s">
        <v>107</v>
      </c>
      <c r="B14" s="6" t="s">
        <v>108</v>
      </c>
      <c r="C14" s="6" t="s">
        <v>109</v>
      </c>
      <c r="D14" s="6" t="s">
        <v>110</v>
      </c>
      <c r="E14" s="6" t="s">
        <v>111</v>
      </c>
      <c r="F14" s="6" t="s">
        <v>112</v>
      </c>
      <c r="G14" s="8" t="s">
        <v>12</v>
      </c>
    </row>
    <row r="15" spans="1:7" ht="103.5" customHeight="1" x14ac:dyDescent="0.25">
      <c r="A15" s="15" t="s">
        <v>113</v>
      </c>
      <c r="B15" s="6" t="s">
        <v>108</v>
      </c>
      <c r="C15" s="6" t="s">
        <v>114</v>
      </c>
      <c r="D15" s="6" t="s">
        <v>115</v>
      </c>
      <c r="E15" s="6" t="s">
        <v>116</v>
      </c>
      <c r="F15" s="6" t="s">
        <v>117</v>
      </c>
      <c r="G15" s="8" t="s">
        <v>12</v>
      </c>
    </row>
    <row r="16" spans="1:7" ht="103.5" customHeight="1" x14ac:dyDescent="0.25">
      <c r="A16" s="15" t="s">
        <v>118</v>
      </c>
      <c r="B16" s="6" t="s">
        <v>108</v>
      </c>
      <c r="C16" s="6" t="s">
        <v>119</v>
      </c>
      <c r="D16" s="6" t="s">
        <v>120</v>
      </c>
      <c r="E16" s="6" t="s">
        <v>121</v>
      </c>
      <c r="F16" s="6" t="s">
        <v>122</v>
      </c>
      <c r="G16" s="8" t="s">
        <v>12</v>
      </c>
    </row>
    <row r="17" spans="1:7" ht="103.5" customHeight="1" x14ac:dyDescent="0.25">
      <c r="A17" s="15" t="s">
        <v>123</v>
      </c>
      <c r="B17" s="6" t="s">
        <v>108</v>
      </c>
      <c r="C17" s="6" t="s">
        <v>119</v>
      </c>
      <c r="D17" s="6" t="s">
        <v>124</v>
      </c>
      <c r="E17" s="6" t="s">
        <v>125</v>
      </c>
      <c r="F17" s="6" t="s">
        <v>126</v>
      </c>
      <c r="G17" s="8" t="s">
        <v>12</v>
      </c>
    </row>
    <row r="19" spans="1:7" ht="15.75" x14ac:dyDescent="0.25">
      <c r="A19" s="16" t="s">
        <v>127</v>
      </c>
    </row>
    <row r="20" spans="1:7" ht="30" customHeight="1" x14ac:dyDescent="0.25">
      <c r="A20" s="17">
        <v>1</v>
      </c>
      <c r="B20" s="1" t="s">
        <v>128</v>
      </c>
      <c r="C20" s="1"/>
      <c r="D20" s="1"/>
      <c r="E20" s="1"/>
      <c r="F20" s="1"/>
      <c r="G20" s="8" t="s">
        <v>12</v>
      </c>
    </row>
    <row r="21" spans="1:7" ht="30" customHeight="1" x14ac:dyDescent="0.25">
      <c r="A21" s="17">
        <v>2</v>
      </c>
      <c r="B21" s="1" t="s">
        <v>129</v>
      </c>
      <c r="C21" s="1"/>
      <c r="D21" s="1"/>
      <c r="E21" s="1"/>
      <c r="F21" s="1"/>
      <c r="G21" s="8" t="s">
        <v>12</v>
      </c>
    </row>
    <row r="22" spans="1:7" ht="30" customHeight="1" x14ac:dyDescent="0.25">
      <c r="A22" s="17">
        <v>3</v>
      </c>
      <c r="B22" s="1" t="s">
        <v>130</v>
      </c>
      <c r="C22" s="1"/>
      <c r="D22" s="1"/>
      <c r="E22" s="1"/>
      <c r="F22" s="1"/>
      <c r="G22" s="8" t="s">
        <v>12</v>
      </c>
    </row>
    <row r="23" spans="1:7" ht="30" customHeight="1" x14ac:dyDescent="0.25">
      <c r="A23" s="17">
        <v>4</v>
      </c>
      <c r="B23" s="1" t="s">
        <v>131</v>
      </c>
      <c r="C23" s="1"/>
      <c r="D23" s="1"/>
      <c r="E23" s="1"/>
      <c r="F23" s="1"/>
      <c r="G23" s="8" t="s">
        <v>12</v>
      </c>
    </row>
    <row r="24" spans="1:7" ht="30" customHeight="1" x14ac:dyDescent="0.25">
      <c r="A24" s="17">
        <v>5</v>
      </c>
      <c r="B24" s="1" t="s">
        <v>132</v>
      </c>
      <c r="C24" s="1"/>
      <c r="D24" s="1"/>
      <c r="E24" s="1"/>
      <c r="F24" s="1"/>
      <c r="G24" s="8" t="s">
        <v>12</v>
      </c>
    </row>
    <row r="25" spans="1:7" ht="30" customHeight="1" x14ac:dyDescent="0.25">
      <c r="A25" s="17">
        <v>6</v>
      </c>
      <c r="B25" s="1" t="s">
        <v>133</v>
      </c>
      <c r="C25" s="1"/>
      <c r="D25" s="1"/>
      <c r="E25" s="1"/>
      <c r="F25" s="1"/>
      <c r="G25" s="8" t="s">
        <v>12</v>
      </c>
    </row>
    <row r="26" spans="1:7" ht="30" customHeight="1" x14ac:dyDescent="0.25">
      <c r="A26" s="17">
        <v>7</v>
      </c>
      <c r="B26" s="1" t="s">
        <v>134</v>
      </c>
      <c r="C26" s="1"/>
      <c r="D26" s="1"/>
      <c r="E26" s="1"/>
      <c r="F26" s="1"/>
      <c r="G26" s="8" t="s">
        <v>12</v>
      </c>
    </row>
    <row r="27" spans="1:7" ht="30" customHeight="1" x14ac:dyDescent="0.25">
      <c r="A27" s="17">
        <v>8</v>
      </c>
      <c r="B27" s="1" t="s">
        <v>135</v>
      </c>
      <c r="C27" s="1"/>
      <c r="D27" s="1"/>
      <c r="E27" s="1"/>
      <c r="F27" s="1"/>
      <c r="G27" s="8" t="s">
        <v>12</v>
      </c>
    </row>
    <row r="28" spans="1:7" ht="30" customHeight="1" x14ac:dyDescent="0.25">
      <c r="A28" s="17">
        <v>9</v>
      </c>
      <c r="B28" s="1" t="s">
        <v>136</v>
      </c>
      <c r="C28" s="1"/>
      <c r="D28" s="1"/>
      <c r="E28" s="1"/>
      <c r="F28" s="1"/>
      <c r="G28" s="8" t="s">
        <v>12</v>
      </c>
    </row>
    <row r="29" spans="1:7" ht="30" customHeight="1" x14ac:dyDescent="0.25">
      <c r="A29" s="17">
        <v>10</v>
      </c>
      <c r="B29" s="1" t="s">
        <v>137</v>
      </c>
      <c r="C29" s="1"/>
      <c r="D29" s="1"/>
      <c r="E29" s="1"/>
      <c r="F29" s="1"/>
      <c r="G29" s="8" t="s">
        <v>12</v>
      </c>
    </row>
    <row r="30" spans="1:7" ht="30" customHeight="1" x14ac:dyDescent="0.25">
      <c r="A30" s="17">
        <v>11</v>
      </c>
      <c r="B30" s="1" t="s">
        <v>138</v>
      </c>
      <c r="C30" s="1"/>
      <c r="D30" s="1"/>
      <c r="E30" s="1"/>
      <c r="F30" s="1"/>
      <c r="G30" s="8" t="s">
        <v>12</v>
      </c>
    </row>
  </sheetData>
  <mergeCells count="11">
    <mergeCell ref="B30:F30"/>
    <mergeCell ref="B25:F25"/>
    <mergeCell ref="B26:F26"/>
    <mergeCell ref="B27:F27"/>
    <mergeCell ref="B28:F28"/>
    <mergeCell ref="B29:F29"/>
    <mergeCell ref="B20:F20"/>
    <mergeCell ref="B21:F21"/>
    <mergeCell ref="B22:F22"/>
    <mergeCell ref="B23:F23"/>
    <mergeCell ref="B24:F24"/>
  </mergeCells>
  <conditionalFormatting sqref="G5:G17">
    <cfRule type="cellIs" dxfId="16" priority="2" operator="equal">
      <formula>"сделано"</formula>
    </cfRule>
  </conditionalFormatting>
  <conditionalFormatting sqref="G20:G30">
    <cfRule type="cellIs" dxfId="15" priority="3" operator="equal">
      <formula>"сделано"</formula>
    </cfRule>
  </conditionalFormatting>
  <dataValidations count="2">
    <dataValidation type="list" allowBlank="1" sqref="G5:G17 G20:G30" xr:uid="{00000000-0002-0000-0100-000000000000}">
      <formula1>"нет,в работе,сделано"</formula1>
      <formula2>0</formula2>
    </dataValidation>
    <dataValidation type="list" allowBlank="1" sqref="B5:B17" xr:uid="{00000000-0002-0000-0100-000001000000}">
      <formula1>"да,позже,нет"</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1"/>
  <sheetViews>
    <sheetView zoomScaleNormal="100" workbookViewId="0">
      <pane xSplit="1" ySplit="1" topLeftCell="B2" activePane="bottomRight" state="frozen"/>
      <selection pane="topRight" activeCell="B1" sqref="B1"/>
      <selection pane="bottomLeft" activeCell="A2" sqref="A2"/>
      <selection pane="bottomRight" activeCell="A5" sqref="A5"/>
    </sheetView>
  </sheetViews>
  <sheetFormatPr defaultColWidth="8.7109375" defaultRowHeight="15" outlineLevelCol="1" x14ac:dyDescent="0.25"/>
  <cols>
    <col min="1" max="1" width="20" style="18" customWidth="1"/>
    <col min="2" max="2" width="24" style="18" customWidth="1"/>
    <col min="3" max="3" width="10" style="18" customWidth="1"/>
    <col min="4" max="4" width="8" style="18" customWidth="1"/>
    <col min="5" max="5" width="22" style="18" customWidth="1"/>
    <col min="6" max="7" width="17" style="18" customWidth="1"/>
    <col min="8" max="8" width="11" style="18" customWidth="1"/>
    <col min="9" max="9" width="13" style="18" customWidth="1"/>
    <col min="10" max="10" width="9" style="18" customWidth="1"/>
    <col min="11" max="11" width="11" style="18" customWidth="1"/>
    <col min="12" max="12" width="18" style="18" customWidth="1"/>
    <col min="13" max="13" width="12" style="18" customWidth="1"/>
    <col min="14" max="14" width="46" style="18" customWidth="1"/>
    <col min="15" max="15" width="20" style="18" customWidth="1"/>
    <col min="16" max="16" width="14" style="18" customWidth="1"/>
    <col min="17" max="17" width="30" style="18" customWidth="1"/>
    <col min="18" max="18" width="14" style="18" customWidth="1"/>
    <col min="19" max="19" width="12" style="18" customWidth="1"/>
    <col min="20" max="20" width="46" style="18" customWidth="1"/>
    <col min="21" max="22" width="9" style="18" hidden="1" customWidth="1" outlineLevel="1"/>
    <col min="23" max="23" width="20" style="18" hidden="1" customWidth="1" outlineLevel="1"/>
    <col min="24" max="24" width="8.7109375" collapsed="1"/>
  </cols>
  <sheetData>
    <row r="1" spans="1:23" ht="42" customHeight="1" x14ac:dyDescent="0.25">
      <c r="A1" s="4" t="s">
        <v>139</v>
      </c>
      <c r="B1" s="4" t="s">
        <v>140</v>
      </c>
      <c r="C1" s="4" t="s">
        <v>141</v>
      </c>
      <c r="D1" s="4" t="s">
        <v>142</v>
      </c>
      <c r="E1" s="4" t="s">
        <v>143</v>
      </c>
      <c r="F1" s="4" t="s">
        <v>144</v>
      </c>
      <c r="G1" s="4" t="s">
        <v>145</v>
      </c>
      <c r="H1" s="4" t="s">
        <v>146</v>
      </c>
      <c r="I1" s="4" t="s">
        <v>147</v>
      </c>
      <c r="J1" s="4" t="s">
        <v>148</v>
      </c>
      <c r="K1" s="4" t="s">
        <v>149</v>
      </c>
      <c r="L1" s="4" t="s">
        <v>150</v>
      </c>
      <c r="M1" s="4" t="s">
        <v>151</v>
      </c>
      <c r="N1" s="4" t="s">
        <v>152</v>
      </c>
      <c r="O1" s="4" t="s">
        <v>153</v>
      </c>
      <c r="P1" s="4" t="s">
        <v>154</v>
      </c>
      <c r="Q1" s="4" t="s">
        <v>155</v>
      </c>
      <c r="R1" s="4" t="s">
        <v>156</v>
      </c>
      <c r="S1" s="4" t="s">
        <v>157</v>
      </c>
      <c r="T1" s="4" t="s">
        <v>158</v>
      </c>
      <c r="U1" s="4" t="s">
        <v>159</v>
      </c>
      <c r="V1" s="4" t="s">
        <v>160</v>
      </c>
      <c r="W1" s="4" t="s">
        <v>161</v>
      </c>
    </row>
    <row r="2" spans="1:23" ht="34.5" customHeight="1" x14ac:dyDescent="0.25">
      <c r="A2" s="12" t="s">
        <v>61</v>
      </c>
      <c r="B2" s="12" t="s">
        <v>162</v>
      </c>
      <c r="C2" s="19" t="s">
        <v>163</v>
      </c>
      <c r="D2" s="19">
        <v>1502</v>
      </c>
      <c r="E2" s="12" t="s">
        <v>164</v>
      </c>
      <c r="F2" s="12" t="s">
        <v>165</v>
      </c>
      <c r="G2" s="12"/>
      <c r="H2" s="19">
        <v>1</v>
      </c>
      <c r="I2" s="19" t="s">
        <v>37</v>
      </c>
      <c r="J2" s="19" t="s">
        <v>166</v>
      </c>
      <c r="K2" s="19" t="s">
        <v>12</v>
      </c>
      <c r="L2" s="12" t="s">
        <v>167</v>
      </c>
      <c r="M2" s="20">
        <f>IF($A2="","",COUNTIFS(Источники!$A$2:$A$200,$A2,Источники!$G$2:$G$200,"нашли"))</f>
        <v>8</v>
      </c>
      <c r="N2" s="21" t="str">
        <f t="shared" ref="N2:N33" si="0">IF($A2="","",IF($W2="","OK",$W2))</f>
        <v xml:space="preserve">координаты не проверены; </v>
      </c>
      <c r="O2" s="12"/>
      <c r="P2" s="12"/>
      <c r="Q2" s="12"/>
      <c r="R2" s="12"/>
      <c r="S2" s="12"/>
      <c r="T2" s="12" t="s">
        <v>168</v>
      </c>
      <c r="U2" s="22">
        <f>IF($A2="",0,IFERROR(MATCH($A2,Тексты!$A$1:$A$61,0),0))</f>
        <v>2</v>
      </c>
      <c r="V2" s="22">
        <f>IF($A2="",0,IFERROR(MATCH($A2,Места!$A$1:$A$61,0),0))</f>
        <v>2</v>
      </c>
      <c r="W2" s="22" t="str">
        <f>IF($A2="","",IF(COUNTIF($A$2:$A$61,$A2)&gt;1,"дубль id; ","")&amp;IF($B2="","нет эпохи; ","")&amp;IF($C2="","нет уровня; ","")&amp;IF($D2="","нет года; ","")&amp;IF($F2="","нет нити; ","")&amp;IF($H2="","нет важности; ","")&amp;IF($I2="","нет метки; ","")&amp;IF($J2="","нет возраста; ","")&amp;IF($K2="","не указана тяжёлая тема; ","")&amp;IF($M2&lt;IF($C2="frame",2,1),"источников "&amp;$M2&amp;" из "&amp;IF($C2="frame",2,1)&amp;"; ","")&amp;IF($U2=0,"нет строки в «Тексты»; ",IF(INDEX(Тексты!$C$1:$C$61,$U2)=0,"нет крючок EN; ",IF(OR(INDEX(Тексты!$C$1:$C$61,$U2)&lt;1,INDEX(Тексты!$C$1:$C$61,$U2)&gt;12),"крючок EN "&amp;INDEX(Тексты!$C$1:$C$61,$U2)&amp;" сл. (нужно 1–12); ",""))&amp;IF(INDEX(Тексты!$E$1:$E$61,$U2)=0,"нет крючок PT; ",IF(OR(INDEX(Тексты!$E$1:$E$61,$U2)&lt;1,INDEX(Тексты!$E$1:$E$61,$U2)&gt;12),"крючок PT "&amp;INDEX(Тексты!$E$1:$E$61,$U2)&amp;" сл. (нужно 1–12); ",""))&amp;IF(INDEX(Тексты!$O$1:$O$61,$U2)=0,"нет крючок RU; ",IF(OR(INDEX(Тексты!$O$1:$O$61,$U2)&lt;1,INDEX(Тексты!$O$1:$O$61,$U2)&gt;12),"крючок RU "&amp;INDEX(Тексты!$O$1:$O$61,$U2)&amp;" сл. (нужно 1–12); ",""))&amp;IF(INDEX(Тексты!$G$1:$G$61,$U2)=0,"нет история EN; ",IF(OR(INDEX(Тексты!$G$1:$G$61,$U2)&lt;40,INDEX(Тексты!$G$1:$G$61,$U2)&gt;90),"история EN "&amp;INDEX(Тексты!$G$1:$G$61,$U2)&amp;" сл. (нужно 40–90); ",""))&amp;IF(INDEX(Тексты!$I$1:$I$61,$U2)=0,"нет история PT; ",IF(OR(INDEX(Тексты!$I$1:$I$61,$U2)&lt;40,INDEX(Тексты!$I$1:$I$61,$U2)&gt;90),"история PT "&amp;INDEX(Тексты!$I$1:$I$61,$U2)&amp;" сл. (нужно 40–90); ",""))&amp;IF(INDEX(Тексты!$Q$1:$Q$61,$U2)=0,"нет история RU; ",IF(OR(INDEX(Тексты!$Q$1:$Q$61,$U2)&lt;40,INDEX(Тексты!$Q$1:$Q$61,$U2)&gt;90),"история RU "&amp;INDEX(Тексты!$Q$1:$Q$61,$U2)&amp;" сл. (нужно 40–90); ",""))&amp;IF(INDEX(Тексты!$K$1:$K$61,$U2)=0,"нет подробнее EN; ",IF(OR(INDEX(Тексты!$K$1:$K$61,$U2)&lt;1,INDEX(Тексты!$K$1:$K$61,$U2)&gt;250),"подробнее EN "&amp;INDEX(Тексты!$K$1:$K$61,$U2)&amp;" сл. (нужно 1–250); ",""))&amp;IF(INDEX(Тексты!$M$1:$M$61,$U2)=0,"нет подробнее PT; ",IF(OR(INDEX(Тексты!$M$1:$M$61,$U2)&lt;1,INDEX(Тексты!$M$1:$M$61,$U2)&gt;250),"подробнее PT "&amp;INDEX(Тексты!$M$1:$M$61,$U2)&amp;" сл. (нужно 1–250); ",""))&amp;IF(INDEX(Тексты!$S$1:$S$61,$U2)=0,"нет подробнее RU; ",IF(OR(INDEX(Тексты!$S$1:$S$61,$U2)&lt;1,INDEX(Тексты!$S$1:$S$61,$U2)&gt;250),"подробнее RU "&amp;INDEX(Тексты!$S$1:$S$61,$U2)&amp;" сл. (нужно 1–250); ","")))&amp;IF($V2=0,"нет строки в «Места»; ",IF(OR(INDEX(Места!$B$1:$B$61,$V2)="",INDEX(Места!$C$1:$C$61,$V2)="",INDEX(Места!$Q$1:$Q$61,$V2)=""),"нет названия EN/PT/RU; ","")&amp;IF(OR(INDEX(Места!$D$1:$D$61,$V2)="",INDEX(Места!$E$1:$E$61,$V2)="",INDEX(Места!$R$1:$R$61,$V2)=""),"нет slug EN/PT/RU; ","")&amp;IF(INDEX(Места!$K$1:$K$61,$V2)="","нет моста в сегодня; ","")&amp;IF(OR(INDEX(Места!$O$1:$O$61,$V2)="",INDEX(Места!$O$1:$O$61,$V2)="TODO"),"нет сайта моста; ","")&amp;IF(INDEX(Места!$P$1:$P$61,$V2)&lt;&gt;"да","координаты не проверены; ",""))&amp;IF(AND($L2="готово",OR($R2="",$S2="")),"нет рецензента/даты; ",""))</f>
        <v xml:space="preserve">координаты не проверены; </v>
      </c>
    </row>
    <row r="3" spans="1:23" ht="113.25" customHeight="1" x14ac:dyDescent="0.25">
      <c r="A3" s="12" t="s">
        <v>67</v>
      </c>
      <c r="B3" s="12" t="s">
        <v>162</v>
      </c>
      <c r="C3" s="19" t="s">
        <v>163</v>
      </c>
      <c r="D3" s="19">
        <v>1515</v>
      </c>
      <c r="E3" s="12" t="s">
        <v>169</v>
      </c>
      <c r="F3" s="12" t="s">
        <v>170</v>
      </c>
      <c r="G3" s="12"/>
      <c r="H3" s="19">
        <v>1</v>
      </c>
      <c r="I3" s="19" t="s">
        <v>37</v>
      </c>
      <c r="J3" s="19" t="s">
        <v>166</v>
      </c>
      <c r="K3" s="19" t="s">
        <v>12</v>
      </c>
      <c r="L3" s="12" t="s">
        <v>167</v>
      </c>
      <c r="M3" s="20">
        <f>IF($A3="","",COUNTIFS(Источники!$A$2:$A$200,$A3,Источники!$G$2:$G$200,"нашли"))</f>
        <v>8</v>
      </c>
      <c r="N3" s="21" t="str">
        <f t="shared" si="0"/>
        <v xml:space="preserve">нет сайта моста; координаты не проверены; </v>
      </c>
      <c r="O3" s="12"/>
      <c r="P3" s="12"/>
      <c r="Q3" s="12"/>
      <c r="R3" s="12"/>
      <c r="S3" s="12"/>
      <c r="T3" s="12" t="s">
        <v>171</v>
      </c>
      <c r="U3" s="22">
        <f>IF($A3="",0,IFERROR(MATCH($A3,Тексты!$A$1:$A$61,0),0))</f>
        <v>3</v>
      </c>
      <c r="V3" s="22">
        <f>IF($A3="",0,IFERROR(MATCH($A3,Места!$A$1:$A$61,0),0))</f>
        <v>3</v>
      </c>
      <c r="W3" s="22" t="str">
        <f>IF($A3="","",IF(COUNTIF($A$2:$A$61,$A3)&gt;1,"дубль id; ","")&amp;IF($B3="","нет эпохи; ","")&amp;IF($C3="","нет уровня; ","")&amp;IF($D3="","нет года; ","")&amp;IF($F3="","нет нити; ","")&amp;IF($H3="","нет важности; ","")&amp;IF($I3="","нет метки; ","")&amp;IF($J3="","нет возраста; ","")&amp;IF($K3="","не указана тяжёлая тема; ","")&amp;IF($M3&lt;IF($C3="frame",2,1),"источников "&amp;$M3&amp;" из "&amp;IF($C3="frame",2,1)&amp;"; ","")&amp;IF($U3=0,"нет строки в «Тексты»; ",IF(INDEX(Тексты!$C$1:$C$61,$U3)=0,"нет крючок EN; ",IF(OR(INDEX(Тексты!$C$1:$C$61,$U3)&lt;1,INDEX(Тексты!$C$1:$C$61,$U3)&gt;12),"крючок EN "&amp;INDEX(Тексты!$C$1:$C$61,$U3)&amp;" сл. (нужно 1–12); ",""))&amp;IF(INDEX(Тексты!$E$1:$E$61,$U3)=0,"нет крючок PT; ",IF(OR(INDEX(Тексты!$E$1:$E$61,$U3)&lt;1,INDEX(Тексты!$E$1:$E$61,$U3)&gt;12),"крючок PT "&amp;INDEX(Тексты!$E$1:$E$61,$U3)&amp;" сл. (нужно 1–12); ",""))&amp;IF(INDEX(Тексты!$O$1:$O$61,$U3)=0,"нет крючок RU; ",IF(OR(INDEX(Тексты!$O$1:$O$61,$U3)&lt;1,INDEX(Тексты!$O$1:$O$61,$U3)&gt;12),"крючок RU "&amp;INDEX(Тексты!$O$1:$O$61,$U3)&amp;" сл. (нужно 1–12); ",""))&amp;IF(INDEX(Тексты!$G$1:$G$61,$U3)=0,"нет история EN; ",IF(OR(INDEX(Тексты!$G$1:$G$61,$U3)&lt;40,INDEX(Тексты!$G$1:$G$61,$U3)&gt;90),"история EN "&amp;INDEX(Тексты!$G$1:$G$61,$U3)&amp;" сл. (нужно 40–90); ",""))&amp;IF(INDEX(Тексты!$I$1:$I$61,$U3)=0,"нет история PT; ",IF(OR(INDEX(Тексты!$I$1:$I$61,$U3)&lt;40,INDEX(Тексты!$I$1:$I$61,$U3)&gt;90),"история PT "&amp;INDEX(Тексты!$I$1:$I$61,$U3)&amp;" сл. (нужно 40–90); ",""))&amp;IF(INDEX(Тексты!$Q$1:$Q$61,$U3)=0,"нет история RU; ",IF(OR(INDEX(Тексты!$Q$1:$Q$61,$U3)&lt;40,INDEX(Тексты!$Q$1:$Q$61,$U3)&gt;90),"история RU "&amp;INDEX(Тексты!$Q$1:$Q$61,$U3)&amp;" сл. (нужно 40–90); ",""))&amp;IF(INDEX(Тексты!$K$1:$K$61,$U3)=0,"нет подробнее EN; ",IF(OR(INDEX(Тексты!$K$1:$K$61,$U3)&lt;1,INDEX(Тексты!$K$1:$K$61,$U3)&gt;250),"подробнее EN "&amp;INDEX(Тексты!$K$1:$K$61,$U3)&amp;" сл. (нужно 1–250); ",""))&amp;IF(INDEX(Тексты!$M$1:$M$61,$U3)=0,"нет подробнее PT; ",IF(OR(INDEX(Тексты!$M$1:$M$61,$U3)&lt;1,INDEX(Тексты!$M$1:$M$61,$U3)&gt;250),"подробнее PT "&amp;INDEX(Тексты!$M$1:$M$61,$U3)&amp;" сл. (нужно 1–250); ",""))&amp;IF(INDEX(Тексты!$S$1:$S$61,$U3)=0,"нет подробнее RU; ",IF(OR(INDEX(Тексты!$S$1:$S$61,$U3)&lt;1,INDEX(Тексты!$S$1:$S$61,$U3)&gt;250),"подробнее RU "&amp;INDEX(Тексты!$S$1:$S$61,$U3)&amp;" сл. (нужно 1–250); ","")))&amp;IF($V3=0,"нет строки в «Места»; ",IF(OR(INDEX(Места!$B$1:$B$61,$V3)="",INDEX(Места!$C$1:$C$61,$V3)="",INDEX(Места!$Q$1:$Q$61,$V3)=""),"нет названия EN/PT/RU; ","")&amp;IF(OR(INDEX(Места!$D$1:$D$61,$V3)="",INDEX(Места!$E$1:$E$61,$V3)="",INDEX(Места!$R$1:$R$61,$V3)=""),"нет slug EN/PT/RU; ","")&amp;IF(INDEX(Места!$K$1:$K$61,$V3)="","нет моста в сегодня; ","")&amp;IF(OR(INDEX(Места!$O$1:$O$61,$V3)="",INDEX(Места!$O$1:$O$61,$V3)="TODO"),"нет сайта моста; ","")&amp;IF(INDEX(Места!$P$1:$P$61,$V3)&lt;&gt;"да","координаты не проверены; ",""))&amp;IF(AND($L3="готово",OR($R3="",$S3="")),"нет рецензента/даты; ",""))</f>
        <v xml:space="preserve">нет сайта моста; координаты не проверены; </v>
      </c>
    </row>
    <row r="4" spans="1:23" ht="34.5" customHeight="1" x14ac:dyDescent="0.25">
      <c r="A4" s="12" t="s">
        <v>72</v>
      </c>
      <c r="B4" s="12" t="s">
        <v>162</v>
      </c>
      <c r="C4" s="19" t="s">
        <v>163</v>
      </c>
      <c r="D4" s="19">
        <v>1415</v>
      </c>
      <c r="E4" s="12" t="s">
        <v>172</v>
      </c>
      <c r="F4" s="12" t="s">
        <v>173</v>
      </c>
      <c r="G4" s="12" t="s">
        <v>174</v>
      </c>
      <c r="H4" s="19">
        <v>1</v>
      </c>
      <c r="I4" s="19" t="s">
        <v>175</v>
      </c>
      <c r="J4" s="19" t="s">
        <v>166</v>
      </c>
      <c r="K4" s="19" t="s">
        <v>12</v>
      </c>
      <c r="L4" s="12" t="s">
        <v>167</v>
      </c>
      <c r="M4" s="20">
        <f>IF($A4="","",COUNTIFS(Источники!$A$2:$A$200,$A4,Источники!$G$2:$G$200,"нашли"))</f>
        <v>5</v>
      </c>
      <c r="N4" s="21" t="str">
        <f t="shared" si="0"/>
        <v xml:space="preserve">координаты не проверены; </v>
      </c>
      <c r="O4" s="12"/>
      <c r="P4" s="12"/>
      <c r="Q4" s="12"/>
      <c r="R4" s="12"/>
      <c r="S4" s="12"/>
      <c r="T4" s="12" t="s">
        <v>176</v>
      </c>
      <c r="U4" s="22">
        <f>IF($A4="",0,IFERROR(MATCH($A4,Тексты!$A$1:$A$61,0),0))</f>
        <v>4</v>
      </c>
      <c r="V4" s="22">
        <f>IF($A4="",0,IFERROR(MATCH($A4,Места!$A$1:$A$61,0),0))</f>
        <v>4</v>
      </c>
      <c r="W4" s="22" t="str">
        <f>IF($A4="","",IF(COUNTIF($A$2:$A$61,$A4)&gt;1,"дубль id; ","")&amp;IF($B4="","нет эпохи; ","")&amp;IF($C4="","нет уровня; ","")&amp;IF($D4="","нет года; ","")&amp;IF($F4="","нет нити; ","")&amp;IF($H4="","нет важности; ","")&amp;IF($I4="","нет метки; ","")&amp;IF($J4="","нет возраста; ","")&amp;IF($K4="","не указана тяжёлая тема; ","")&amp;IF($M4&lt;IF($C4="frame",2,1),"источников "&amp;$M4&amp;" из "&amp;IF($C4="frame",2,1)&amp;"; ","")&amp;IF($U4=0,"нет строки в «Тексты»; ",IF(INDEX(Тексты!$C$1:$C$61,$U4)=0,"нет крючок EN; ",IF(OR(INDEX(Тексты!$C$1:$C$61,$U4)&lt;1,INDEX(Тексты!$C$1:$C$61,$U4)&gt;12),"крючок EN "&amp;INDEX(Тексты!$C$1:$C$61,$U4)&amp;" сл. (нужно 1–12); ",""))&amp;IF(INDEX(Тексты!$E$1:$E$61,$U4)=0,"нет крючок PT; ",IF(OR(INDEX(Тексты!$E$1:$E$61,$U4)&lt;1,INDEX(Тексты!$E$1:$E$61,$U4)&gt;12),"крючок PT "&amp;INDEX(Тексты!$E$1:$E$61,$U4)&amp;" сл. (нужно 1–12); ",""))&amp;IF(INDEX(Тексты!$O$1:$O$61,$U4)=0,"нет крючок RU; ",IF(OR(INDEX(Тексты!$O$1:$O$61,$U4)&lt;1,INDEX(Тексты!$O$1:$O$61,$U4)&gt;12),"крючок RU "&amp;INDEX(Тексты!$O$1:$O$61,$U4)&amp;" сл. (нужно 1–12); ",""))&amp;IF(INDEX(Тексты!$G$1:$G$61,$U4)=0,"нет история EN; ",IF(OR(INDEX(Тексты!$G$1:$G$61,$U4)&lt;40,INDEX(Тексты!$G$1:$G$61,$U4)&gt;90),"история EN "&amp;INDEX(Тексты!$G$1:$G$61,$U4)&amp;" сл. (нужно 40–90); ",""))&amp;IF(INDEX(Тексты!$I$1:$I$61,$U4)=0,"нет история PT; ",IF(OR(INDEX(Тексты!$I$1:$I$61,$U4)&lt;40,INDEX(Тексты!$I$1:$I$61,$U4)&gt;90),"история PT "&amp;INDEX(Тексты!$I$1:$I$61,$U4)&amp;" сл. (нужно 40–90); ",""))&amp;IF(INDEX(Тексты!$Q$1:$Q$61,$U4)=0,"нет история RU; ",IF(OR(INDEX(Тексты!$Q$1:$Q$61,$U4)&lt;40,INDEX(Тексты!$Q$1:$Q$61,$U4)&gt;90),"история RU "&amp;INDEX(Тексты!$Q$1:$Q$61,$U4)&amp;" сл. (нужно 40–90); ",""))&amp;IF(INDEX(Тексты!$K$1:$K$61,$U4)=0,"нет подробнее EN; ",IF(OR(INDEX(Тексты!$K$1:$K$61,$U4)&lt;1,INDEX(Тексты!$K$1:$K$61,$U4)&gt;250),"подробнее EN "&amp;INDEX(Тексты!$K$1:$K$61,$U4)&amp;" сл. (нужно 1–250); ",""))&amp;IF(INDEX(Тексты!$M$1:$M$61,$U4)=0,"нет подробнее PT; ",IF(OR(INDEX(Тексты!$M$1:$M$61,$U4)&lt;1,INDEX(Тексты!$M$1:$M$61,$U4)&gt;250),"подробнее PT "&amp;INDEX(Тексты!$M$1:$M$61,$U4)&amp;" сл. (нужно 1–250); ",""))&amp;IF(INDEX(Тексты!$S$1:$S$61,$U4)=0,"нет подробнее RU; ",IF(OR(INDEX(Тексты!$S$1:$S$61,$U4)&lt;1,INDEX(Тексты!$S$1:$S$61,$U4)&gt;250),"подробнее RU "&amp;INDEX(Тексты!$S$1:$S$61,$U4)&amp;" сл. (нужно 1–250); ","")))&amp;IF($V4=0,"нет строки в «Места»; ",IF(OR(INDEX(Места!$B$1:$B$61,$V4)="",INDEX(Места!$C$1:$C$61,$V4)="",INDEX(Места!$Q$1:$Q$61,$V4)=""),"нет названия EN/PT/RU; ","")&amp;IF(OR(INDEX(Места!$D$1:$D$61,$V4)="",INDEX(Места!$E$1:$E$61,$V4)="",INDEX(Места!$R$1:$R$61,$V4)=""),"нет slug EN/PT/RU; ","")&amp;IF(INDEX(Места!$K$1:$K$61,$V4)="","нет моста в сегодня; ","")&amp;IF(OR(INDEX(Места!$O$1:$O$61,$V4)="",INDEX(Места!$O$1:$O$61,$V4)="TODO"),"нет сайта моста; ","")&amp;IF(INDEX(Места!$P$1:$P$61,$V4)&lt;&gt;"да","координаты не проверены; ",""))&amp;IF(AND($L4="готово",OR($R4="",$S4="")),"нет рецензента/даты; ",""))</f>
        <v xml:space="preserve">координаты не проверены; </v>
      </c>
    </row>
    <row r="5" spans="1:23" ht="15" customHeight="1" x14ac:dyDescent="0.25">
      <c r="A5" s="12" t="s">
        <v>77</v>
      </c>
      <c r="B5" s="12" t="s">
        <v>177</v>
      </c>
      <c r="C5" s="19" t="s">
        <v>178</v>
      </c>
      <c r="D5" s="19">
        <v>1801</v>
      </c>
      <c r="E5" s="12" t="s">
        <v>179</v>
      </c>
      <c r="F5" s="12" t="s">
        <v>180</v>
      </c>
      <c r="G5" s="12"/>
      <c r="H5" s="19">
        <v>2</v>
      </c>
      <c r="I5" s="19" t="s">
        <v>37</v>
      </c>
      <c r="J5" s="19" t="s">
        <v>166</v>
      </c>
      <c r="K5" s="19" t="s">
        <v>12</v>
      </c>
      <c r="L5" s="12" t="s">
        <v>167</v>
      </c>
      <c r="M5" s="20">
        <f>IF($A5="","",COUNTIFS(Источники!$A$2:$A$200,$A5,Источники!$G$2:$G$200,"нашли"))</f>
        <v>8</v>
      </c>
      <c r="N5" s="21" t="str">
        <f t="shared" si="0"/>
        <v xml:space="preserve">нет сайта моста; координаты не проверены; </v>
      </c>
      <c r="O5" s="12" t="s">
        <v>97</v>
      </c>
      <c r="P5" s="12"/>
      <c r="Q5" s="12"/>
      <c r="R5" s="12"/>
      <c r="S5" s="12"/>
      <c r="T5" s="12" t="s">
        <v>181</v>
      </c>
      <c r="U5" s="22">
        <f>IF($A5="",0,IFERROR(MATCH($A5,Тексты!$A$1:$A$61,0),0))</f>
        <v>5</v>
      </c>
      <c r="V5" s="22">
        <f>IF($A5="",0,IFERROR(MATCH($A5,Места!$A$1:$A$61,0),0))</f>
        <v>5</v>
      </c>
      <c r="W5" s="22" t="str">
        <f>IF($A5="","",IF(COUNTIF($A$2:$A$61,$A5)&gt;1,"дубль id; ","")&amp;IF($B5="","нет эпохи; ","")&amp;IF($C5="","нет уровня; ","")&amp;IF($D5="","нет года; ","")&amp;IF($F5="","нет нити; ","")&amp;IF($H5="","нет важности; ","")&amp;IF($I5="","нет метки; ","")&amp;IF($J5="","нет возраста; ","")&amp;IF($K5="","не указана тяжёлая тема; ","")&amp;IF($M5&lt;IF($C5="frame",2,1),"источников "&amp;$M5&amp;" из "&amp;IF($C5="frame",2,1)&amp;"; ","")&amp;IF($U5=0,"нет строки в «Тексты»; ",IF(INDEX(Тексты!$C$1:$C$61,$U5)=0,"нет крючок EN; ",IF(OR(INDEX(Тексты!$C$1:$C$61,$U5)&lt;1,INDEX(Тексты!$C$1:$C$61,$U5)&gt;12),"крючок EN "&amp;INDEX(Тексты!$C$1:$C$61,$U5)&amp;" сл. (нужно 1–12); ",""))&amp;IF(INDEX(Тексты!$E$1:$E$61,$U5)=0,"нет крючок PT; ",IF(OR(INDEX(Тексты!$E$1:$E$61,$U5)&lt;1,INDEX(Тексты!$E$1:$E$61,$U5)&gt;12),"крючок PT "&amp;INDEX(Тексты!$E$1:$E$61,$U5)&amp;" сл. (нужно 1–12); ",""))&amp;IF(INDEX(Тексты!$O$1:$O$61,$U5)=0,"нет крючок RU; ",IF(OR(INDEX(Тексты!$O$1:$O$61,$U5)&lt;1,INDEX(Тексты!$O$1:$O$61,$U5)&gt;12),"крючок RU "&amp;INDEX(Тексты!$O$1:$O$61,$U5)&amp;" сл. (нужно 1–12); ",""))&amp;IF(INDEX(Тексты!$G$1:$G$61,$U5)=0,"нет история EN; ",IF(OR(INDEX(Тексты!$G$1:$G$61,$U5)&lt;40,INDEX(Тексты!$G$1:$G$61,$U5)&gt;90),"история EN "&amp;INDEX(Тексты!$G$1:$G$61,$U5)&amp;" сл. (нужно 40–90); ",""))&amp;IF(INDEX(Тексты!$I$1:$I$61,$U5)=0,"нет история PT; ",IF(OR(INDEX(Тексты!$I$1:$I$61,$U5)&lt;40,INDEX(Тексты!$I$1:$I$61,$U5)&gt;90),"история PT "&amp;INDEX(Тексты!$I$1:$I$61,$U5)&amp;" сл. (нужно 40–90); ",""))&amp;IF(INDEX(Тексты!$Q$1:$Q$61,$U5)=0,"нет история RU; ",IF(OR(INDEX(Тексты!$Q$1:$Q$61,$U5)&lt;40,INDEX(Тексты!$Q$1:$Q$61,$U5)&gt;90),"история RU "&amp;INDEX(Тексты!$Q$1:$Q$61,$U5)&amp;" сл. (нужно 40–90); ",""))&amp;IF(INDEX(Тексты!$K$1:$K$61,$U5)=0,"нет подробнее EN; ",IF(OR(INDEX(Тексты!$K$1:$K$61,$U5)&lt;1,INDEX(Тексты!$K$1:$K$61,$U5)&gt;250),"подробнее EN "&amp;INDEX(Тексты!$K$1:$K$61,$U5)&amp;" сл. (нужно 1–250); ",""))&amp;IF(INDEX(Тексты!$M$1:$M$61,$U5)=0,"нет подробнее PT; ",IF(OR(INDEX(Тексты!$M$1:$M$61,$U5)&lt;1,INDEX(Тексты!$M$1:$M$61,$U5)&gt;250),"подробнее PT "&amp;INDEX(Тексты!$M$1:$M$61,$U5)&amp;" сл. (нужно 1–250); ",""))&amp;IF(INDEX(Тексты!$S$1:$S$61,$U5)=0,"нет подробнее RU; ",IF(OR(INDEX(Тексты!$S$1:$S$61,$U5)&lt;1,INDEX(Тексты!$S$1:$S$61,$U5)&gt;250),"подробнее RU "&amp;INDEX(Тексты!$S$1:$S$61,$U5)&amp;" сл. (нужно 1–250); ","")))&amp;IF($V5=0,"нет строки в «Места»; ",IF(OR(INDEX(Места!$B$1:$B$61,$V5)="",INDEX(Места!$C$1:$C$61,$V5)="",INDEX(Места!$Q$1:$Q$61,$V5)=""),"нет названия EN/PT/RU; ","")&amp;IF(OR(INDEX(Места!$D$1:$D$61,$V5)="",INDEX(Места!$E$1:$E$61,$V5)="",INDEX(Места!$R$1:$R$61,$V5)=""),"нет slug EN/PT/RU; ","")&amp;IF(INDEX(Места!$K$1:$K$61,$V5)="","нет моста в сегодня; ","")&amp;IF(OR(INDEX(Места!$O$1:$O$61,$V5)="",INDEX(Места!$O$1:$O$61,$V5)="TODO"),"нет сайта моста; ","")&amp;IF(INDEX(Места!$P$1:$P$61,$V5)&lt;&gt;"да","координаты не проверены; ",""))&amp;IF(AND($L5="готово",OR($R5="",$S5="")),"нет рецензента/даты; ",""))</f>
        <v xml:space="preserve">нет сайта моста; координаты не проверены; </v>
      </c>
    </row>
    <row r="6" spans="1:23" ht="15" customHeight="1" x14ac:dyDescent="0.25">
      <c r="A6" s="12" t="s">
        <v>82</v>
      </c>
      <c r="B6" s="12" t="s">
        <v>177</v>
      </c>
      <c r="C6" s="19" t="s">
        <v>163</v>
      </c>
      <c r="D6" s="19">
        <v>1782</v>
      </c>
      <c r="E6" s="12" t="s">
        <v>182</v>
      </c>
      <c r="F6" s="12" t="s">
        <v>173</v>
      </c>
      <c r="G6" s="12" t="s">
        <v>174</v>
      </c>
      <c r="H6" s="19">
        <v>1</v>
      </c>
      <c r="I6" s="19" t="s">
        <v>37</v>
      </c>
      <c r="J6" s="19" t="s">
        <v>166</v>
      </c>
      <c r="K6" s="19" t="s">
        <v>12</v>
      </c>
      <c r="L6" s="12" t="s">
        <v>167</v>
      </c>
      <c r="M6" s="20">
        <f>IF($A6="","",COUNTIFS(Источники!$A$2:$A$200,$A6,Источники!$G$2:$G$200,"нашли"))</f>
        <v>14</v>
      </c>
      <c r="N6" s="21" t="str">
        <f t="shared" si="0"/>
        <v xml:space="preserve">координаты не проверены; </v>
      </c>
      <c r="O6" s="12" t="s">
        <v>107</v>
      </c>
      <c r="P6" s="12"/>
      <c r="Q6" s="12"/>
      <c r="R6" s="12"/>
      <c r="S6" s="12"/>
      <c r="T6" s="12" t="s">
        <v>183</v>
      </c>
      <c r="U6" s="22">
        <f>IF($A6="",0,IFERROR(MATCH($A6,Тексты!$A$1:$A$61,0),0))</f>
        <v>6</v>
      </c>
      <c r="V6" s="22">
        <f>IF($A6="",0,IFERROR(MATCH($A6,Места!$A$1:$A$61,0),0))</f>
        <v>6</v>
      </c>
      <c r="W6" s="22" t="str">
        <f>IF($A6="","",IF(COUNTIF($A$2:$A$61,$A6)&gt;1,"дубль id; ","")&amp;IF($B6="","нет эпохи; ","")&amp;IF($C6="","нет уровня; ","")&amp;IF($D6="","нет года; ","")&amp;IF($F6="","нет нити; ","")&amp;IF($H6="","нет важности; ","")&amp;IF($I6="","нет метки; ","")&amp;IF($J6="","нет возраста; ","")&amp;IF($K6="","не указана тяжёлая тема; ","")&amp;IF($M6&lt;IF($C6="frame",2,1),"источников "&amp;$M6&amp;" из "&amp;IF($C6="frame",2,1)&amp;"; ","")&amp;IF($U6=0,"нет строки в «Тексты»; ",IF(INDEX(Тексты!$C$1:$C$61,$U6)=0,"нет крючок EN; ",IF(OR(INDEX(Тексты!$C$1:$C$61,$U6)&lt;1,INDEX(Тексты!$C$1:$C$61,$U6)&gt;12),"крючок EN "&amp;INDEX(Тексты!$C$1:$C$61,$U6)&amp;" сл. (нужно 1–12); ",""))&amp;IF(INDEX(Тексты!$E$1:$E$61,$U6)=0,"нет крючок PT; ",IF(OR(INDEX(Тексты!$E$1:$E$61,$U6)&lt;1,INDEX(Тексты!$E$1:$E$61,$U6)&gt;12),"крючок PT "&amp;INDEX(Тексты!$E$1:$E$61,$U6)&amp;" сл. (нужно 1–12); ",""))&amp;IF(INDEX(Тексты!$O$1:$O$61,$U6)=0,"нет крючок RU; ",IF(OR(INDEX(Тексты!$O$1:$O$61,$U6)&lt;1,INDEX(Тексты!$O$1:$O$61,$U6)&gt;12),"крючок RU "&amp;INDEX(Тексты!$O$1:$O$61,$U6)&amp;" сл. (нужно 1–12); ",""))&amp;IF(INDEX(Тексты!$G$1:$G$61,$U6)=0,"нет история EN; ",IF(OR(INDEX(Тексты!$G$1:$G$61,$U6)&lt;40,INDEX(Тексты!$G$1:$G$61,$U6)&gt;90),"история EN "&amp;INDEX(Тексты!$G$1:$G$61,$U6)&amp;" сл. (нужно 40–90); ",""))&amp;IF(INDEX(Тексты!$I$1:$I$61,$U6)=0,"нет история PT; ",IF(OR(INDEX(Тексты!$I$1:$I$61,$U6)&lt;40,INDEX(Тексты!$I$1:$I$61,$U6)&gt;90),"история PT "&amp;INDEX(Тексты!$I$1:$I$61,$U6)&amp;" сл. (нужно 40–90); ",""))&amp;IF(INDEX(Тексты!$Q$1:$Q$61,$U6)=0,"нет история RU; ",IF(OR(INDEX(Тексты!$Q$1:$Q$61,$U6)&lt;40,INDEX(Тексты!$Q$1:$Q$61,$U6)&gt;90),"история RU "&amp;INDEX(Тексты!$Q$1:$Q$61,$U6)&amp;" сл. (нужно 40–90); ",""))&amp;IF(INDEX(Тексты!$K$1:$K$61,$U6)=0,"нет подробнее EN; ",IF(OR(INDEX(Тексты!$K$1:$K$61,$U6)&lt;1,INDEX(Тексты!$K$1:$K$61,$U6)&gt;250),"подробнее EN "&amp;INDEX(Тексты!$K$1:$K$61,$U6)&amp;" сл. (нужно 1–250); ",""))&amp;IF(INDEX(Тексты!$M$1:$M$61,$U6)=0,"нет подробнее PT; ",IF(OR(INDEX(Тексты!$M$1:$M$61,$U6)&lt;1,INDEX(Тексты!$M$1:$M$61,$U6)&gt;250),"подробнее PT "&amp;INDEX(Тексты!$M$1:$M$61,$U6)&amp;" сл. (нужно 1–250); ",""))&amp;IF(INDEX(Тексты!$S$1:$S$61,$U6)=0,"нет подробнее RU; ",IF(OR(INDEX(Тексты!$S$1:$S$61,$U6)&lt;1,INDEX(Тексты!$S$1:$S$61,$U6)&gt;250),"подробнее RU "&amp;INDEX(Тексты!$S$1:$S$61,$U6)&amp;" сл. (нужно 1–250); ","")))&amp;IF($V6=0,"нет строки в «Места»; ",IF(OR(INDEX(Места!$B$1:$B$61,$V6)="",INDEX(Места!$C$1:$C$61,$V6)="",INDEX(Места!$Q$1:$Q$61,$V6)=""),"нет названия EN/PT/RU; ","")&amp;IF(OR(INDEX(Места!$D$1:$D$61,$V6)="",INDEX(Места!$E$1:$E$61,$V6)="",INDEX(Места!$R$1:$R$61,$V6)=""),"нет slug EN/PT/RU; ","")&amp;IF(INDEX(Места!$K$1:$K$61,$V6)="","нет моста в сегодня; ","")&amp;IF(OR(INDEX(Места!$O$1:$O$61,$V6)="",INDEX(Места!$O$1:$O$61,$V6)="TODO"),"нет сайта моста; ","")&amp;IF(INDEX(Места!$P$1:$P$61,$V6)&lt;&gt;"да","координаты не проверены; ",""))&amp;IF(AND($L6="готово",OR($R6="",$S6="")),"нет рецензента/даты; ",""))</f>
        <v xml:space="preserve">координаты не проверены; </v>
      </c>
    </row>
    <row r="7" spans="1:23" ht="15" customHeight="1" x14ac:dyDescent="0.25">
      <c r="A7" s="12" t="s">
        <v>87</v>
      </c>
      <c r="B7" s="12" t="s">
        <v>177</v>
      </c>
      <c r="C7" s="19" t="s">
        <v>163</v>
      </c>
      <c r="D7" s="19">
        <v>1756</v>
      </c>
      <c r="E7" s="12" t="s">
        <v>184</v>
      </c>
      <c r="F7" s="12" t="s">
        <v>173</v>
      </c>
      <c r="G7" s="12" t="s">
        <v>180</v>
      </c>
      <c r="H7" s="19">
        <v>1</v>
      </c>
      <c r="I7" s="19" t="s">
        <v>37</v>
      </c>
      <c r="J7" s="19" t="s">
        <v>166</v>
      </c>
      <c r="K7" s="19" t="s">
        <v>12</v>
      </c>
      <c r="L7" s="12" t="s">
        <v>167</v>
      </c>
      <c r="M7" s="20">
        <f>IF($A7="","",COUNTIFS(Источники!$A$2:$A$200,$A7,Источники!$G$2:$G$200,"нашли"))</f>
        <v>4</v>
      </c>
      <c r="N7" s="21" t="str">
        <f t="shared" si="0"/>
        <v xml:space="preserve">координаты не проверены; </v>
      </c>
      <c r="O7" s="12" t="s">
        <v>118</v>
      </c>
      <c r="P7" s="12"/>
      <c r="Q7" s="12"/>
      <c r="R7" s="12"/>
      <c r="S7" s="12"/>
      <c r="T7" s="12" t="s">
        <v>185</v>
      </c>
      <c r="U7" s="22">
        <f>IF($A7="",0,IFERROR(MATCH($A7,Тексты!$A$1:$A$61,0),0))</f>
        <v>7</v>
      </c>
      <c r="V7" s="22">
        <f>IF($A7="",0,IFERROR(MATCH($A7,Места!$A$1:$A$61,0),0))</f>
        <v>7</v>
      </c>
      <c r="W7" s="22" t="str">
        <f>IF($A7="","",IF(COUNTIF($A$2:$A$61,$A7)&gt;1,"дубль id; ","")&amp;IF($B7="","нет эпохи; ","")&amp;IF($C7="","нет уровня; ","")&amp;IF($D7="","нет года; ","")&amp;IF($F7="","нет нити; ","")&amp;IF($H7="","нет важности; ","")&amp;IF($I7="","нет метки; ","")&amp;IF($J7="","нет возраста; ","")&amp;IF($K7="","не указана тяжёлая тема; ","")&amp;IF($M7&lt;IF($C7="frame",2,1),"источников "&amp;$M7&amp;" из "&amp;IF($C7="frame",2,1)&amp;"; ","")&amp;IF($U7=0,"нет строки в «Тексты»; ",IF(INDEX(Тексты!$C$1:$C$61,$U7)=0,"нет крючок EN; ",IF(OR(INDEX(Тексты!$C$1:$C$61,$U7)&lt;1,INDEX(Тексты!$C$1:$C$61,$U7)&gt;12),"крючок EN "&amp;INDEX(Тексты!$C$1:$C$61,$U7)&amp;" сл. (нужно 1–12); ",""))&amp;IF(INDEX(Тексты!$E$1:$E$61,$U7)=0,"нет крючок PT; ",IF(OR(INDEX(Тексты!$E$1:$E$61,$U7)&lt;1,INDEX(Тексты!$E$1:$E$61,$U7)&gt;12),"крючок PT "&amp;INDEX(Тексты!$E$1:$E$61,$U7)&amp;" сл. (нужно 1–12); ",""))&amp;IF(INDEX(Тексты!$O$1:$O$61,$U7)=0,"нет крючок RU; ",IF(OR(INDEX(Тексты!$O$1:$O$61,$U7)&lt;1,INDEX(Тексты!$O$1:$O$61,$U7)&gt;12),"крючок RU "&amp;INDEX(Тексты!$O$1:$O$61,$U7)&amp;" сл. (нужно 1–12); ",""))&amp;IF(INDEX(Тексты!$G$1:$G$61,$U7)=0,"нет история EN; ",IF(OR(INDEX(Тексты!$G$1:$G$61,$U7)&lt;40,INDEX(Тексты!$G$1:$G$61,$U7)&gt;90),"история EN "&amp;INDEX(Тексты!$G$1:$G$61,$U7)&amp;" сл. (нужно 40–90); ",""))&amp;IF(INDEX(Тексты!$I$1:$I$61,$U7)=0,"нет история PT; ",IF(OR(INDEX(Тексты!$I$1:$I$61,$U7)&lt;40,INDEX(Тексты!$I$1:$I$61,$U7)&gt;90),"история PT "&amp;INDEX(Тексты!$I$1:$I$61,$U7)&amp;" сл. (нужно 40–90); ",""))&amp;IF(INDEX(Тексты!$Q$1:$Q$61,$U7)=0,"нет история RU; ",IF(OR(INDEX(Тексты!$Q$1:$Q$61,$U7)&lt;40,INDEX(Тексты!$Q$1:$Q$61,$U7)&gt;90),"история RU "&amp;INDEX(Тексты!$Q$1:$Q$61,$U7)&amp;" сл. (нужно 40–90); ",""))&amp;IF(INDEX(Тексты!$K$1:$K$61,$U7)=0,"нет подробнее EN; ",IF(OR(INDEX(Тексты!$K$1:$K$61,$U7)&lt;1,INDEX(Тексты!$K$1:$K$61,$U7)&gt;250),"подробнее EN "&amp;INDEX(Тексты!$K$1:$K$61,$U7)&amp;" сл. (нужно 1–250); ",""))&amp;IF(INDEX(Тексты!$M$1:$M$61,$U7)=0,"нет подробнее PT; ",IF(OR(INDEX(Тексты!$M$1:$M$61,$U7)&lt;1,INDEX(Тексты!$M$1:$M$61,$U7)&gt;250),"подробнее PT "&amp;INDEX(Тексты!$M$1:$M$61,$U7)&amp;" сл. (нужно 1–250); ",""))&amp;IF(INDEX(Тексты!$S$1:$S$61,$U7)=0,"нет подробнее RU; ",IF(OR(INDEX(Тексты!$S$1:$S$61,$U7)&lt;1,INDEX(Тексты!$S$1:$S$61,$U7)&gt;250),"подробнее RU "&amp;INDEX(Тексты!$S$1:$S$61,$U7)&amp;" сл. (нужно 1–250); ","")))&amp;IF($V7=0,"нет строки в «Места»; ",IF(OR(INDEX(Места!$B$1:$B$61,$V7)="",INDEX(Места!$C$1:$C$61,$V7)="",INDEX(Места!$Q$1:$Q$61,$V7)=""),"нет названия EN/PT/RU; ","")&amp;IF(OR(INDEX(Места!$D$1:$D$61,$V7)="",INDEX(Места!$E$1:$E$61,$V7)="",INDEX(Места!$R$1:$R$61,$V7)=""),"нет slug EN/PT/RU; ","")&amp;IF(INDEX(Места!$K$1:$K$61,$V7)="","нет моста в сегодня; ","")&amp;IF(OR(INDEX(Места!$O$1:$O$61,$V7)="",INDEX(Места!$O$1:$O$61,$V7)="TODO"),"нет сайта моста; ","")&amp;IF(INDEX(Места!$P$1:$P$61,$V7)&lt;&gt;"да","координаты не проверены; ",""))&amp;IF(AND($L7="готово",OR($R7="",$S7="")),"нет рецензента/даты; ",""))</f>
        <v xml:space="preserve">координаты не проверены; </v>
      </c>
    </row>
    <row r="8" spans="1:23" ht="15" customHeight="1" x14ac:dyDescent="0.25">
      <c r="A8" s="12" t="s">
        <v>92</v>
      </c>
      <c r="B8" s="12" t="s">
        <v>162</v>
      </c>
      <c r="C8" s="19" t="s">
        <v>163</v>
      </c>
      <c r="D8" s="19">
        <v>1511</v>
      </c>
      <c r="E8" s="12" t="s">
        <v>186</v>
      </c>
      <c r="F8" s="12" t="s">
        <v>170</v>
      </c>
      <c r="G8" s="12"/>
      <c r="H8" s="19">
        <v>1</v>
      </c>
      <c r="I8" s="19" t="s">
        <v>37</v>
      </c>
      <c r="J8" s="19" t="s">
        <v>187</v>
      </c>
      <c r="K8" s="19" t="s">
        <v>12</v>
      </c>
      <c r="L8" s="12" t="s">
        <v>167</v>
      </c>
      <c r="M8" s="20">
        <f>IF($A8="","",COUNTIFS(Источники!$A$2:$A$200,$A8,Источники!$G$2:$G$200,"нашли"))</f>
        <v>10</v>
      </c>
      <c r="N8" s="21" t="str">
        <f t="shared" si="0"/>
        <v xml:space="preserve">нет сайта моста; координаты не проверены; </v>
      </c>
      <c r="O8" s="12"/>
      <c r="P8" s="12"/>
      <c r="Q8" s="12"/>
      <c r="R8" s="12"/>
      <c r="S8" s="12"/>
      <c r="T8" s="12" t="s">
        <v>188</v>
      </c>
      <c r="U8" s="22">
        <f>IF($A8="",0,IFERROR(MATCH($A8,Тексты!$A$1:$A$61,0),0))</f>
        <v>8</v>
      </c>
      <c r="V8" s="22">
        <f>IF($A8="",0,IFERROR(MATCH($A8,Места!$A$1:$A$61,0),0))</f>
        <v>8</v>
      </c>
      <c r="W8" s="22" t="str">
        <f>IF($A8="","",IF(COUNTIF($A$2:$A$61,$A8)&gt;1,"дубль id; ","")&amp;IF($B8="","нет эпохи; ","")&amp;IF($C8="","нет уровня; ","")&amp;IF($D8="","нет года; ","")&amp;IF($F8="","нет нити; ","")&amp;IF($H8="","нет важности; ","")&amp;IF($I8="","нет метки; ","")&amp;IF($J8="","нет возраста; ","")&amp;IF($K8="","не указана тяжёлая тема; ","")&amp;IF($M8&lt;IF($C8="frame",2,1),"источников "&amp;$M8&amp;" из "&amp;IF($C8="frame",2,1)&amp;"; ","")&amp;IF($U8=0,"нет строки в «Тексты»; ",IF(INDEX(Тексты!$C$1:$C$61,$U8)=0,"нет крючок EN; ",IF(OR(INDEX(Тексты!$C$1:$C$61,$U8)&lt;1,INDEX(Тексты!$C$1:$C$61,$U8)&gt;12),"крючок EN "&amp;INDEX(Тексты!$C$1:$C$61,$U8)&amp;" сл. (нужно 1–12); ",""))&amp;IF(INDEX(Тексты!$E$1:$E$61,$U8)=0,"нет крючок PT; ",IF(OR(INDEX(Тексты!$E$1:$E$61,$U8)&lt;1,INDEX(Тексты!$E$1:$E$61,$U8)&gt;12),"крючок PT "&amp;INDEX(Тексты!$E$1:$E$61,$U8)&amp;" сл. (нужно 1–12); ",""))&amp;IF(INDEX(Тексты!$O$1:$O$61,$U8)=0,"нет крючок RU; ",IF(OR(INDEX(Тексты!$O$1:$O$61,$U8)&lt;1,INDEX(Тексты!$O$1:$O$61,$U8)&gt;12),"крючок RU "&amp;INDEX(Тексты!$O$1:$O$61,$U8)&amp;" сл. (нужно 1–12); ",""))&amp;IF(INDEX(Тексты!$G$1:$G$61,$U8)=0,"нет история EN; ",IF(OR(INDEX(Тексты!$G$1:$G$61,$U8)&lt;40,INDEX(Тексты!$G$1:$G$61,$U8)&gt;90),"история EN "&amp;INDEX(Тексты!$G$1:$G$61,$U8)&amp;" сл. (нужно 40–90); ",""))&amp;IF(INDEX(Тексты!$I$1:$I$61,$U8)=0,"нет история PT; ",IF(OR(INDEX(Тексты!$I$1:$I$61,$U8)&lt;40,INDEX(Тексты!$I$1:$I$61,$U8)&gt;90),"история PT "&amp;INDEX(Тексты!$I$1:$I$61,$U8)&amp;" сл. (нужно 40–90); ",""))&amp;IF(INDEX(Тексты!$Q$1:$Q$61,$U8)=0,"нет история RU; ",IF(OR(INDEX(Тексты!$Q$1:$Q$61,$U8)&lt;40,INDEX(Тексты!$Q$1:$Q$61,$U8)&gt;90),"история RU "&amp;INDEX(Тексты!$Q$1:$Q$61,$U8)&amp;" сл. (нужно 40–90); ",""))&amp;IF(INDEX(Тексты!$K$1:$K$61,$U8)=0,"нет подробнее EN; ",IF(OR(INDEX(Тексты!$K$1:$K$61,$U8)&lt;1,INDEX(Тексты!$K$1:$K$61,$U8)&gt;250),"подробнее EN "&amp;INDEX(Тексты!$K$1:$K$61,$U8)&amp;" сл. (нужно 1–250); ",""))&amp;IF(INDEX(Тексты!$M$1:$M$61,$U8)=0,"нет подробнее PT; ",IF(OR(INDEX(Тексты!$M$1:$M$61,$U8)&lt;1,INDEX(Тексты!$M$1:$M$61,$U8)&gt;250),"подробнее PT "&amp;INDEX(Тексты!$M$1:$M$61,$U8)&amp;" сл. (нужно 1–250); ",""))&amp;IF(INDEX(Тексты!$S$1:$S$61,$U8)=0,"нет подробнее RU; ",IF(OR(INDEX(Тексты!$S$1:$S$61,$U8)&lt;1,INDEX(Тексты!$S$1:$S$61,$U8)&gt;250),"подробнее RU "&amp;INDEX(Тексты!$S$1:$S$61,$U8)&amp;" сл. (нужно 1–250); ","")))&amp;IF($V8=0,"нет строки в «Места»; ",IF(OR(INDEX(Места!$B$1:$B$61,$V8)="",INDEX(Места!$C$1:$C$61,$V8)="",INDEX(Места!$Q$1:$Q$61,$V8)=""),"нет названия EN/PT/RU; ","")&amp;IF(OR(INDEX(Места!$D$1:$D$61,$V8)="",INDEX(Места!$E$1:$E$61,$V8)="",INDEX(Места!$R$1:$R$61,$V8)=""),"нет slug EN/PT/RU; ","")&amp;IF(INDEX(Места!$K$1:$K$61,$V8)="","нет моста в сегодня; ","")&amp;IF(OR(INDEX(Места!$O$1:$O$61,$V8)="",INDEX(Места!$O$1:$O$61,$V8)="TODO"),"нет сайта моста; ","")&amp;IF(INDEX(Места!$P$1:$P$61,$V8)&lt;&gt;"да","координаты не проверены; ",""))&amp;IF(AND($L8="готово",OR($R8="",$S8="")),"нет рецензента/даты; ",""))</f>
        <v xml:space="preserve">нет сайта моста; координаты не проверены; </v>
      </c>
    </row>
    <row r="9" spans="1:23" ht="15" customHeight="1" x14ac:dyDescent="0.25">
      <c r="A9" s="12" t="s">
        <v>97</v>
      </c>
      <c r="B9" s="12" t="s">
        <v>177</v>
      </c>
      <c r="C9" s="19" t="s">
        <v>178</v>
      </c>
      <c r="D9" s="19">
        <v>1810</v>
      </c>
      <c r="E9" s="12" t="s">
        <v>189</v>
      </c>
      <c r="F9" s="12" t="s">
        <v>180</v>
      </c>
      <c r="G9" s="12" t="s">
        <v>174</v>
      </c>
      <c r="H9" s="19">
        <v>3</v>
      </c>
      <c r="I9" s="19" t="s">
        <v>37</v>
      </c>
      <c r="J9" s="19" t="s">
        <v>187</v>
      </c>
      <c r="K9" s="19" t="s">
        <v>62</v>
      </c>
      <c r="L9" s="12" t="s">
        <v>167</v>
      </c>
      <c r="M9" s="20">
        <f>IF($A9="","",COUNTIFS(Источники!$A$2:$A$200,$A9,Источники!$G$2:$G$200,"нашли"))</f>
        <v>7</v>
      </c>
      <c r="N9" s="21" t="str">
        <f t="shared" si="0"/>
        <v xml:space="preserve">координаты не проверены; </v>
      </c>
      <c r="O9" s="12" t="s">
        <v>190</v>
      </c>
      <c r="P9" s="12"/>
      <c r="Q9" s="12"/>
      <c r="R9" s="12"/>
      <c r="S9" s="12"/>
      <c r="T9" s="12" t="s">
        <v>191</v>
      </c>
      <c r="U9" s="22">
        <f>IF($A9="",0,IFERROR(MATCH($A9,Тексты!$A$1:$A$61,0),0))</f>
        <v>9</v>
      </c>
      <c r="V9" s="22">
        <f>IF($A9="",0,IFERROR(MATCH($A9,Места!$A$1:$A$61,0),0))</f>
        <v>9</v>
      </c>
      <c r="W9" s="22" t="str">
        <f>IF($A9="","",IF(COUNTIF($A$2:$A$61,$A9)&gt;1,"дубль id; ","")&amp;IF($B9="","нет эпохи; ","")&amp;IF($C9="","нет уровня; ","")&amp;IF($D9="","нет года; ","")&amp;IF($F9="","нет нити; ","")&amp;IF($H9="","нет важности; ","")&amp;IF($I9="","нет метки; ","")&amp;IF($J9="","нет возраста; ","")&amp;IF($K9="","не указана тяжёлая тема; ","")&amp;IF($M9&lt;IF($C9="frame",2,1),"источников "&amp;$M9&amp;" из "&amp;IF($C9="frame",2,1)&amp;"; ","")&amp;IF($U9=0,"нет строки в «Тексты»; ",IF(INDEX(Тексты!$C$1:$C$61,$U9)=0,"нет крючок EN; ",IF(OR(INDEX(Тексты!$C$1:$C$61,$U9)&lt;1,INDEX(Тексты!$C$1:$C$61,$U9)&gt;12),"крючок EN "&amp;INDEX(Тексты!$C$1:$C$61,$U9)&amp;" сл. (нужно 1–12); ",""))&amp;IF(INDEX(Тексты!$E$1:$E$61,$U9)=0,"нет крючок PT; ",IF(OR(INDEX(Тексты!$E$1:$E$61,$U9)&lt;1,INDEX(Тексты!$E$1:$E$61,$U9)&gt;12),"крючок PT "&amp;INDEX(Тексты!$E$1:$E$61,$U9)&amp;" сл. (нужно 1–12); ",""))&amp;IF(INDEX(Тексты!$O$1:$O$61,$U9)=0,"нет крючок RU; ",IF(OR(INDEX(Тексты!$O$1:$O$61,$U9)&lt;1,INDEX(Тексты!$O$1:$O$61,$U9)&gt;12),"крючок RU "&amp;INDEX(Тексты!$O$1:$O$61,$U9)&amp;" сл. (нужно 1–12); ",""))&amp;IF(INDEX(Тексты!$G$1:$G$61,$U9)=0,"нет история EN; ",IF(OR(INDEX(Тексты!$G$1:$G$61,$U9)&lt;40,INDEX(Тексты!$G$1:$G$61,$U9)&gt;90),"история EN "&amp;INDEX(Тексты!$G$1:$G$61,$U9)&amp;" сл. (нужно 40–90); ",""))&amp;IF(INDEX(Тексты!$I$1:$I$61,$U9)=0,"нет история PT; ",IF(OR(INDEX(Тексты!$I$1:$I$61,$U9)&lt;40,INDEX(Тексты!$I$1:$I$61,$U9)&gt;90),"история PT "&amp;INDEX(Тексты!$I$1:$I$61,$U9)&amp;" сл. (нужно 40–90); ",""))&amp;IF(INDEX(Тексты!$Q$1:$Q$61,$U9)=0,"нет история RU; ",IF(OR(INDEX(Тексты!$Q$1:$Q$61,$U9)&lt;40,INDEX(Тексты!$Q$1:$Q$61,$U9)&gt;90),"история RU "&amp;INDEX(Тексты!$Q$1:$Q$61,$U9)&amp;" сл. (нужно 40–90); ",""))&amp;IF(INDEX(Тексты!$K$1:$K$61,$U9)=0,"нет подробнее EN; ",IF(OR(INDEX(Тексты!$K$1:$K$61,$U9)&lt;1,INDEX(Тексты!$K$1:$K$61,$U9)&gt;250),"подробнее EN "&amp;INDEX(Тексты!$K$1:$K$61,$U9)&amp;" сл. (нужно 1–250); ",""))&amp;IF(INDEX(Тексты!$M$1:$M$61,$U9)=0,"нет подробнее PT; ",IF(OR(INDEX(Тексты!$M$1:$M$61,$U9)&lt;1,INDEX(Тексты!$M$1:$M$61,$U9)&gt;250),"подробнее PT "&amp;INDEX(Тексты!$M$1:$M$61,$U9)&amp;" сл. (нужно 1–250); ",""))&amp;IF(INDEX(Тексты!$S$1:$S$61,$U9)=0,"нет подробнее RU; ",IF(OR(INDEX(Тексты!$S$1:$S$61,$U9)&lt;1,INDEX(Тексты!$S$1:$S$61,$U9)&gt;250),"подробнее RU "&amp;INDEX(Тексты!$S$1:$S$61,$U9)&amp;" сл. (нужно 1–250); ","")))&amp;IF($V9=0,"нет строки в «Места»; ",IF(OR(INDEX(Места!$B$1:$B$61,$V9)="",INDEX(Места!$C$1:$C$61,$V9)="",INDEX(Места!$Q$1:$Q$61,$V9)=""),"нет названия EN/PT/RU; ","")&amp;IF(OR(INDEX(Места!$D$1:$D$61,$V9)="",INDEX(Места!$E$1:$E$61,$V9)="",INDEX(Места!$R$1:$R$61,$V9)=""),"нет slug EN/PT/RU; ","")&amp;IF(INDEX(Места!$K$1:$K$61,$V9)="","нет моста в сегодня; ","")&amp;IF(OR(INDEX(Места!$O$1:$O$61,$V9)="",INDEX(Места!$O$1:$O$61,$V9)="TODO"),"нет сайта моста; ","")&amp;IF(INDEX(Места!$P$1:$P$61,$V9)&lt;&gt;"да","координаты не проверены; ",""))&amp;IF(AND($L9="готово",OR($R9="",$S9="")),"нет рецензента/даты; ",""))</f>
        <v xml:space="preserve">координаты не проверены; </v>
      </c>
    </row>
    <row r="10" spans="1:23" ht="15" customHeight="1" x14ac:dyDescent="0.25">
      <c r="A10" s="12" t="s">
        <v>102</v>
      </c>
      <c r="B10" s="12" t="s">
        <v>162</v>
      </c>
      <c r="C10" s="19" t="s">
        <v>178</v>
      </c>
      <c r="D10" s="19">
        <v>1385</v>
      </c>
      <c r="E10" s="12" t="s">
        <v>192</v>
      </c>
      <c r="F10" s="12" t="s">
        <v>180</v>
      </c>
      <c r="G10" s="12" t="s">
        <v>174</v>
      </c>
      <c r="H10" s="19">
        <v>3</v>
      </c>
      <c r="I10" s="19" t="s">
        <v>37</v>
      </c>
      <c r="J10" s="19" t="s">
        <v>187</v>
      </c>
      <c r="K10" s="19" t="s">
        <v>12</v>
      </c>
      <c r="L10" s="12" t="s">
        <v>167</v>
      </c>
      <c r="M10" s="20">
        <f>IF($A10="","",COUNTIFS(Источники!$A$2:$A$200,$A10,Источники!$G$2:$G$200,"нашли"))</f>
        <v>9</v>
      </c>
      <c r="N10" s="21" t="str">
        <f t="shared" si="0"/>
        <v xml:space="preserve">координаты не проверены; </v>
      </c>
      <c r="O10" s="12" t="s">
        <v>107</v>
      </c>
      <c r="P10" s="12" t="s">
        <v>193</v>
      </c>
      <c r="Q10" s="12" t="s">
        <v>194</v>
      </c>
      <c r="R10" s="12"/>
      <c r="S10" s="12"/>
      <c r="T10" s="12" t="s">
        <v>195</v>
      </c>
      <c r="U10" s="22">
        <f>IF($A10="",0,IFERROR(MATCH($A10,Тексты!$A$1:$A$61,0),0))</f>
        <v>10</v>
      </c>
      <c r="V10" s="22">
        <f>IF($A10="",0,IFERROR(MATCH($A10,Места!$A$1:$A$61,0),0))</f>
        <v>10</v>
      </c>
      <c r="W10" s="22" t="str">
        <f>IF($A10="","",IF(COUNTIF($A$2:$A$61,$A10)&gt;1,"дубль id; ","")&amp;IF($B10="","нет эпохи; ","")&amp;IF($C10="","нет уровня; ","")&amp;IF($D10="","нет года; ","")&amp;IF($F10="","нет нити; ","")&amp;IF($H10="","нет важности; ","")&amp;IF($I10="","нет метки; ","")&amp;IF($J10="","нет возраста; ","")&amp;IF($K10="","не указана тяжёлая тема; ","")&amp;IF($M10&lt;IF($C10="frame",2,1),"источников "&amp;$M10&amp;" из "&amp;IF($C10="frame",2,1)&amp;"; ","")&amp;IF($U10=0,"нет строки в «Тексты»; ",IF(INDEX(Тексты!$C$1:$C$61,$U10)=0,"нет крючок EN; ",IF(OR(INDEX(Тексты!$C$1:$C$61,$U10)&lt;1,INDEX(Тексты!$C$1:$C$61,$U10)&gt;12),"крючок EN "&amp;INDEX(Тексты!$C$1:$C$61,$U10)&amp;" сл. (нужно 1–12); ",""))&amp;IF(INDEX(Тексты!$E$1:$E$61,$U10)=0,"нет крючок PT; ",IF(OR(INDEX(Тексты!$E$1:$E$61,$U10)&lt;1,INDEX(Тексты!$E$1:$E$61,$U10)&gt;12),"крючок PT "&amp;INDEX(Тексты!$E$1:$E$61,$U10)&amp;" сл. (нужно 1–12); ",""))&amp;IF(INDEX(Тексты!$O$1:$O$61,$U10)=0,"нет крючок RU; ",IF(OR(INDEX(Тексты!$O$1:$O$61,$U10)&lt;1,INDEX(Тексты!$O$1:$O$61,$U10)&gt;12),"крючок RU "&amp;INDEX(Тексты!$O$1:$O$61,$U10)&amp;" сл. (нужно 1–12); ",""))&amp;IF(INDEX(Тексты!$G$1:$G$61,$U10)=0,"нет история EN; ",IF(OR(INDEX(Тексты!$G$1:$G$61,$U10)&lt;40,INDEX(Тексты!$G$1:$G$61,$U10)&gt;90),"история EN "&amp;INDEX(Тексты!$G$1:$G$61,$U10)&amp;" сл. (нужно 40–90); ",""))&amp;IF(INDEX(Тексты!$I$1:$I$61,$U10)=0,"нет история PT; ",IF(OR(INDEX(Тексты!$I$1:$I$61,$U10)&lt;40,INDEX(Тексты!$I$1:$I$61,$U10)&gt;90),"история PT "&amp;INDEX(Тексты!$I$1:$I$61,$U10)&amp;" сл. (нужно 40–90); ",""))&amp;IF(INDEX(Тексты!$Q$1:$Q$61,$U10)=0,"нет история RU; ",IF(OR(INDEX(Тексты!$Q$1:$Q$61,$U10)&lt;40,INDEX(Тексты!$Q$1:$Q$61,$U10)&gt;90),"история RU "&amp;INDEX(Тексты!$Q$1:$Q$61,$U10)&amp;" сл. (нужно 40–90); ",""))&amp;IF(INDEX(Тексты!$K$1:$K$61,$U10)=0,"нет подробнее EN; ",IF(OR(INDEX(Тексты!$K$1:$K$61,$U10)&lt;1,INDEX(Тексты!$K$1:$K$61,$U10)&gt;250),"подробнее EN "&amp;INDEX(Тексты!$K$1:$K$61,$U10)&amp;" сл. (нужно 1–250); ",""))&amp;IF(INDEX(Тексты!$M$1:$M$61,$U10)=0,"нет подробнее PT; ",IF(OR(INDEX(Тексты!$M$1:$M$61,$U10)&lt;1,INDEX(Тексты!$M$1:$M$61,$U10)&gt;250),"подробнее PT "&amp;INDEX(Тексты!$M$1:$M$61,$U10)&amp;" сл. (нужно 1–250); ",""))&amp;IF(INDEX(Тексты!$S$1:$S$61,$U10)=0,"нет подробнее RU; ",IF(OR(INDEX(Тексты!$S$1:$S$61,$U10)&lt;1,INDEX(Тексты!$S$1:$S$61,$U10)&gt;250),"подробнее RU "&amp;INDEX(Тексты!$S$1:$S$61,$U10)&amp;" сл. (нужно 1–250); ","")))&amp;IF($V10=0,"нет строки в «Места»; ",IF(OR(INDEX(Места!$B$1:$B$61,$V10)="",INDEX(Места!$C$1:$C$61,$V10)="",INDEX(Места!$Q$1:$Q$61,$V10)=""),"нет названия EN/PT/RU; ","")&amp;IF(OR(INDEX(Места!$D$1:$D$61,$V10)="",INDEX(Места!$E$1:$E$61,$V10)="",INDEX(Места!$R$1:$R$61,$V10)=""),"нет slug EN/PT/RU; ","")&amp;IF(INDEX(Места!$K$1:$K$61,$V10)="","нет моста в сегодня; ","")&amp;IF(OR(INDEX(Места!$O$1:$O$61,$V10)="",INDEX(Места!$O$1:$O$61,$V10)="TODO"),"нет сайта моста; ","")&amp;IF(INDEX(Места!$P$1:$P$61,$V10)&lt;&gt;"да","координаты не проверены; ",""))&amp;IF(AND($L10="готово",OR($R10="",$S10="")),"нет рецензента/даты; ",""))</f>
        <v xml:space="preserve">координаты не проверены; </v>
      </c>
    </row>
    <row r="11" spans="1:23" ht="15" customHeight="1" x14ac:dyDescent="0.25">
      <c r="A11" s="12" t="s">
        <v>107</v>
      </c>
      <c r="B11" s="12" t="s">
        <v>177</v>
      </c>
      <c r="C11" s="19" t="s">
        <v>178</v>
      </c>
      <c r="D11" s="19">
        <v>1755</v>
      </c>
      <c r="E11" s="12" t="s">
        <v>196</v>
      </c>
      <c r="F11" s="12" t="s">
        <v>170</v>
      </c>
      <c r="G11" s="12"/>
      <c r="H11" s="19">
        <v>3</v>
      </c>
      <c r="I11" s="19" t="s">
        <v>37</v>
      </c>
      <c r="J11" s="19" t="s">
        <v>187</v>
      </c>
      <c r="K11" s="19" t="s">
        <v>62</v>
      </c>
      <c r="L11" s="12" t="s">
        <v>167</v>
      </c>
      <c r="M11" s="20">
        <f>IF($A11="","",COUNTIFS(Источники!$A$2:$A$200,$A11,Источники!$G$2:$G$200,"нашли"))</f>
        <v>7</v>
      </c>
      <c r="N11" s="21" t="str">
        <f t="shared" si="0"/>
        <v xml:space="preserve">координаты не проверены; </v>
      </c>
      <c r="O11" s="12" t="s">
        <v>102</v>
      </c>
      <c r="P11" s="12"/>
      <c r="Q11" s="12"/>
      <c r="R11" s="12"/>
      <c r="S11" s="12"/>
      <c r="T11" s="12" t="s">
        <v>197</v>
      </c>
      <c r="U11" s="22">
        <f>IF($A11="",0,IFERROR(MATCH($A11,Тексты!$A$1:$A$61,0),0))</f>
        <v>11</v>
      </c>
      <c r="V11" s="22">
        <f>IF($A11="",0,IFERROR(MATCH($A11,Места!$A$1:$A$61,0),0))</f>
        <v>11</v>
      </c>
      <c r="W11" s="22" t="str">
        <f>IF($A11="","",IF(COUNTIF($A$2:$A$61,$A11)&gt;1,"дубль id; ","")&amp;IF($B11="","нет эпохи; ","")&amp;IF($C11="","нет уровня; ","")&amp;IF($D11="","нет года; ","")&amp;IF($F11="","нет нити; ","")&amp;IF($H11="","нет важности; ","")&amp;IF($I11="","нет метки; ","")&amp;IF($J11="","нет возраста; ","")&amp;IF($K11="","не указана тяжёлая тема; ","")&amp;IF($M11&lt;IF($C11="frame",2,1),"источников "&amp;$M11&amp;" из "&amp;IF($C11="frame",2,1)&amp;"; ","")&amp;IF($U11=0,"нет строки в «Тексты»; ",IF(INDEX(Тексты!$C$1:$C$61,$U11)=0,"нет крючок EN; ",IF(OR(INDEX(Тексты!$C$1:$C$61,$U11)&lt;1,INDEX(Тексты!$C$1:$C$61,$U11)&gt;12),"крючок EN "&amp;INDEX(Тексты!$C$1:$C$61,$U11)&amp;" сл. (нужно 1–12); ",""))&amp;IF(INDEX(Тексты!$E$1:$E$61,$U11)=0,"нет крючок PT; ",IF(OR(INDEX(Тексты!$E$1:$E$61,$U11)&lt;1,INDEX(Тексты!$E$1:$E$61,$U11)&gt;12),"крючок PT "&amp;INDEX(Тексты!$E$1:$E$61,$U11)&amp;" сл. (нужно 1–12); ",""))&amp;IF(INDEX(Тексты!$O$1:$O$61,$U11)=0,"нет крючок RU; ",IF(OR(INDEX(Тексты!$O$1:$O$61,$U11)&lt;1,INDEX(Тексты!$O$1:$O$61,$U11)&gt;12),"крючок RU "&amp;INDEX(Тексты!$O$1:$O$61,$U11)&amp;" сл. (нужно 1–12); ",""))&amp;IF(INDEX(Тексты!$G$1:$G$61,$U11)=0,"нет история EN; ",IF(OR(INDEX(Тексты!$G$1:$G$61,$U11)&lt;40,INDEX(Тексты!$G$1:$G$61,$U11)&gt;90),"история EN "&amp;INDEX(Тексты!$G$1:$G$61,$U11)&amp;" сл. (нужно 40–90); ",""))&amp;IF(INDEX(Тексты!$I$1:$I$61,$U11)=0,"нет история PT; ",IF(OR(INDEX(Тексты!$I$1:$I$61,$U11)&lt;40,INDEX(Тексты!$I$1:$I$61,$U11)&gt;90),"история PT "&amp;INDEX(Тексты!$I$1:$I$61,$U11)&amp;" сл. (нужно 40–90); ",""))&amp;IF(INDEX(Тексты!$Q$1:$Q$61,$U11)=0,"нет история RU; ",IF(OR(INDEX(Тексты!$Q$1:$Q$61,$U11)&lt;40,INDEX(Тексты!$Q$1:$Q$61,$U11)&gt;90),"история RU "&amp;INDEX(Тексты!$Q$1:$Q$61,$U11)&amp;" сл. (нужно 40–90); ",""))&amp;IF(INDEX(Тексты!$K$1:$K$61,$U11)=0,"нет подробнее EN; ",IF(OR(INDEX(Тексты!$K$1:$K$61,$U11)&lt;1,INDEX(Тексты!$K$1:$K$61,$U11)&gt;250),"подробнее EN "&amp;INDEX(Тексты!$K$1:$K$61,$U11)&amp;" сл. (нужно 1–250); ",""))&amp;IF(INDEX(Тексты!$M$1:$M$61,$U11)=0,"нет подробнее PT; ",IF(OR(INDEX(Тексты!$M$1:$M$61,$U11)&lt;1,INDEX(Тексты!$M$1:$M$61,$U11)&gt;250),"подробнее PT "&amp;INDEX(Тексты!$M$1:$M$61,$U11)&amp;" сл. (нужно 1–250); ",""))&amp;IF(INDEX(Тексты!$S$1:$S$61,$U11)=0,"нет подробнее RU; ",IF(OR(INDEX(Тексты!$S$1:$S$61,$U11)&lt;1,INDEX(Тексты!$S$1:$S$61,$U11)&gt;250),"подробнее RU "&amp;INDEX(Тексты!$S$1:$S$61,$U11)&amp;" сл. (нужно 1–250); ","")))&amp;IF($V11=0,"нет строки в «Места»; ",IF(OR(INDEX(Места!$B$1:$B$61,$V11)="",INDEX(Места!$C$1:$C$61,$V11)="",INDEX(Места!$Q$1:$Q$61,$V11)=""),"нет названия EN/PT/RU; ","")&amp;IF(OR(INDEX(Места!$D$1:$D$61,$V11)="",INDEX(Места!$E$1:$E$61,$V11)="",INDEX(Места!$R$1:$R$61,$V11)=""),"нет slug EN/PT/RU; ","")&amp;IF(INDEX(Места!$K$1:$K$61,$V11)="","нет моста в сегодня; ","")&amp;IF(OR(INDEX(Места!$O$1:$O$61,$V11)="",INDEX(Места!$O$1:$O$61,$V11)="TODO"),"нет сайта моста; ","")&amp;IF(INDEX(Места!$P$1:$P$61,$V11)&lt;&gt;"да","координаты не проверены; ",""))&amp;IF(AND($L11="готово",OR($R11="",$S11="")),"нет рецензента/даты; ",""))</f>
        <v xml:space="preserve">координаты не проверены; </v>
      </c>
    </row>
    <row r="12" spans="1:23" ht="15" customHeight="1" x14ac:dyDescent="0.25">
      <c r="A12" s="12" t="s">
        <v>113</v>
      </c>
      <c r="B12" s="12" t="s">
        <v>177</v>
      </c>
      <c r="C12" s="19" t="s">
        <v>163</v>
      </c>
      <c r="D12" s="19">
        <v>1809</v>
      </c>
      <c r="E12" s="12" t="s">
        <v>198</v>
      </c>
      <c r="F12" s="12" t="s">
        <v>174</v>
      </c>
      <c r="G12" s="12"/>
      <c r="H12" s="19">
        <v>2</v>
      </c>
      <c r="I12" s="19" t="s">
        <v>37</v>
      </c>
      <c r="J12" s="19" t="s">
        <v>187</v>
      </c>
      <c r="K12" s="19" t="s">
        <v>62</v>
      </c>
      <c r="L12" s="12" t="s">
        <v>167</v>
      </c>
      <c r="M12" s="20">
        <f>IF($A12="","",COUNTIFS(Источники!$A$2:$A$200,$A12,Источники!$G$2:$G$200,"нашли"))</f>
        <v>6</v>
      </c>
      <c r="N12" s="21" t="str">
        <f t="shared" si="0"/>
        <v xml:space="preserve">нет сайта моста; координаты не проверены; </v>
      </c>
      <c r="O12" s="12" t="s">
        <v>199</v>
      </c>
      <c r="P12" s="12"/>
      <c r="Q12" s="12"/>
      <c r="R12" s="12"/>
      <c r="S12" s="12"/>
      <c r="T12" s="12" t="s">
        <v>200</v>
      </c>
      <c r="U12" s="22">
        <f>IF($A12="",0,IFERROR(MATCH($A12,Тексты!$A$1:$A$61,0),0))</f>
        <v>12</v>
      </c>
      <c r="V12" s="22">
        <f>IF($A12="",0,IFERROR(MATCH($A12,Места!$A$1:$A$61,0),0))</f>
        <v>12</v>
      </c>
      <c r="W12" s="22" t="str">
        <f>IF($A12="","",IF(COUNTIF($A$2:$A$61,$A12)&gt;1,"дубль id; ","")&amp;IF($B12="","нет эпохи; ","")&amp;IF($C12="","нет уровня; ","")&amp;IF($D12="","нет года; ","")&amp;IF($F12="","нет нити; ","")&amp;IF($H12="","нет важности; ","")&amp;IF($I12="","нет метки; ","")&amp;IF($J12="","нет возраста; ","")&amp;IF($K12="","не указана тяжёлая тема; ","")&amp;IF($M12&lt;IF($C12="frame",2,1),"источников "&amp;$M12&amp;" из "&amp;IF($C12="frame",2,1)&amp;"; ","")&amp;IF($U12=0,"нет строки в «Тексты»; ",IF(INDEX(Тексты!$C$1:$C$61,$U12)=0,"нет крючок EN; ",IF(OR(INDEX(Тексты!$C$1:$C$61,$U12)&lt;1,INDEX(Тексты!$C$1:$C$61,$U12)&gt;12),"крючок EN "&amp;INDEX(Тексты!$C$1:$C$61,$U12)&amp;" сл. (нужно 1–12); ",""))&amp;IF(INDEX(Тексты!$E$1:$E$61,$U12)=0,"нет крючок PT; ",IF(OR(INDEX(Тексты!$E$1:$E$61,$U12)&lt;1,INDEX(Тексты!$E$1:$E$61,$U12)&gt;12),"крючок PT "&amp;INDEX(Тексты!$E$1:$E$61,$U12)&amp;" сл. (нужно 1–12); ",""))&amp;IF(INDEX(Тексты!$O$1:$O$61,$U12)=0,"нет крючок RU; ",IF(OR(INDEX(Тексты!$O$1:$O$61,$U12)&lt;1,INDEX(Тексты!$O$1:$O$61,$U12)&gt;12),"крючок RU "&amp;INDEX(Тексты!$O$1:$O$61,$U12)&amp;" сл. (нужно 1–12); ",""))&amp;IF(INDEX(Тексты!$G$1:$G$61,$U12)=0,"нет история EN; ",IF(OR(INDEX(Тексты!$G$1:$G$61,$U12)&lt;40,INDEX(Тексты!$G$1:$G$61,$U12)&gt;90),"история EN "&amp;INDEX(Тексты!$G$1:$G$61,$U12)&amp;" сл. (нужно 40–90); ",""))&amp;IF(INDEX(Тексты!$I$1:$I$61,$U12)=0,"нет история PT; ",IF(OR(INDEX(Тексты!$I$1:$I$61,$U12)&lt;40,INDEX(Тексты!$I$1:$I$61,$U12)&gt;90),"история PT "&amp;INDEX(Тексты!$I$1:$I$61,$U12)&amp;" сл. (нужно 40–90); ",""))&amp;IF(INDEX(Тексты!$Q$1:$Q$61,$U12)=0,"нет история RU; ",IF(OR(INDEX(Тексты!$Q$1:$Q$61,$U12)&lt;40,INDEX(Тексты!$Q$1:$Q$61,$U12)&gt;90),"история RU "&amp;INDEX(Тексты!$Q$1:$Q$61,$U12)&amp;" сл. (нужно 40–90); ",""))&amp;IF(INDEX(Тексты!$K$1:$K$61,$U12)=0,"нет подробнее EN; ",IF(OR(INDEX(Тексты!$K$1:$K$61,$U12)&lt;1,INDEX(Тексты!$K$1:$K$61,$U12)&gt;250),"подробнее EN "&amp;INDEX(Тексты!$K$1:$K$61,$U12)&amp;" сл. (нужно 1–250); ",""))&amp;IF(INDEX(Тексты!$M$1:$M$61,$U12)=0,"нет подробнее PT; ",IF(OR(INDEX(Тексты!$M$1:$M$61,$U12)&lt;1,INDEX(Тексты!$M$1:$M$61,$U12)&gt;250),"подробнее PT "&amp;INDEX(Тексты!$M$1:$M$61,$U12)&amp;" сл. (нужно 1–250); ",""))&amp;IF(INDEX(Тексты!$S$1:$S$61,$U12)=0,"нет подробнее RU; ",IF(OR(INDEX(Тексты!$S$1:$S$61,$U12)&lt;1,INDEX(Тексты!$S$1:$S$61,$U12)&gt;250),"подробнее RU "&amp;INDEX(Тексты!$S$1:$S$61,$U12)&amp;" сл. (нужно 1–250); ","")))&amp;IF($V12=0,"нет строки в «Места»; ",IF(OR(INDEX(Места!$B$1:$B$61,$V12)="",INDEX(Места!$C$1:$C$61,$V12)="",INDEX(Места!$Q$1:$Q$61,$V12)=""),"нет названия EN/PT/RU; ","")&amp;IF(OR(INDEX(Места!$D$1:$D$61,$V12)="",INDEX(Места!$E$1:$E$61,$V12)="",INDEX(Места!$R$1:$R$61,$V12)=""),"нет slug EN/PT/RU; ","")&amp;IF(INDEX(Места!$K$1:$K$61,$V12)="","нет моста в сегодня; ","")&amp;IF(OR(INDEX(Места!$O$1:$O$61,$V12)="",INDEX(Места!$O$1:$O$61,$V12)="TODO"),"нет сайта моста; ","")&amp;IF(INDEX(Места!$P$1:$P$61,$V12)&lt;&gt;"да","координаты не проверены; ",""))&amp;IF(AND($L12="готово",OR($R12="",$S12="")),"нет рецензента/даты; ",""))</f>
        <v xml:space="preserve">нет сайта моста; координаты не проверены; </v>
      </c>
    </row>
    <row r="13" spans="1:23" ht="15" customHeight="1" x14ac:dyDescent="0.25">
      <c r="A13" s="12" t="s">
        <v>118</v>
      </c>
      <c r="B13" s="12" t="s">
        <v>177</v>
      </c>
      <c r="C13" s="19" t="s">
        <v>163</v>
      </c>
      <c r="D13" s="19">
        <v>1757</v>
      </c>
      <c r="E13" s="12" t="s">
        <v>201</v>
      </c>
      <c r="F13" s="12" t="s">
        <v>173</v>
      </c>
      <c r="G13" s="12" t="s">
        <v>180</v>
      </c>
      <c r="H13" s="19">
        <v>2</v>
      </c>
      <c r="I13" s="19" t="s">
        <v>37</v>
      </c>
      <c r="J13" s="19" t="s">
        <v>187</v>
      </c>
      <c r="K13" s="19" t="s">
        <v>62</v>
      </c>
      <c r="L13" s="12" t="s">
        <v>167</v>
      </c>
      <c r="M13" s="20">
        <f>IF($A13="","",COUNTIFS(Источники!$A$2:$A$200,$A13,Источники!$G$2:$G$200,"нашли"))</f>
        <v>7</v>
      </c>
      <c r="N13" s="21" t="str">
        <f t="shared" si="0"/>
        <v xml:space="preserve">координаты не проверены; </v>
      </c>
      <c r="O13" s="12" t="s">
        <v>87</v>
      </c>
      <c r="P13" s="12"/>
      <c r="Q13" s="12"/>
      <c r="R13" s="12"/>
      <c r="S13" s="12"/>
      <c r="T13" s="12" t="s">
        <v>202</v>
      </c>
      <c r="U13" s="22">
        <f>IF($A13="",0,IFERROR(MATCH($A13,Тексты!$A$1:$A$61,0),0))</f>
        <v>13</v>
      </c>
      <c r="V13" s="22">
        <f>IF($A13="",0,IFERROR(MATCH($A13,Места!$A$1:$A$61,0),0))</f>
        <v>13</v>
      </c>
      <c r="W13" s="22" t="str">
        <f>IF($A13="","",IF(COUNTIF($A$2:$A$61,$A13)&gt;1,"дубль id; ","")&amp;IF($B13="","нет эпохи; ","")&amp;IF($C13="","нет уровня; ","")&amp;IF($D13="","нет года; ","")&amp;IF($F13="","нет нити; ","")&amp;IF($H13="","нет важности; ","")&amp;IF($I13="","нет метки; ","")&amp;IF($J13="","нет возраста; ","")&amp;IF($K13="","не указана тяжёлая тема; ","")&amp;IF($M13&lt;IF($C13="frame",2,1),"источников "&amp;$M13&amp;" из "&amp;IF($C13="frame",2,1)&amp;"; ","")&amp;IF($U13=0,"нет строки в «Тексты»; ",IF(INDEX(Тексты!$C$1:$C$61,$U13)=0,"нет крючок EN; ",IF(OR(INDEX(Тексты!$C$1:$C$61,$U13)&lt;1,INDEX(Тексты!$C$1:$C$61,$U13)&gt;12),"крючок EN "&amp;INDEX(Тексты!$C$1:$C$61,$U13)&amp;" сл. (нужно 1–12); ",""))&amp;IF(INDEX(Тексты!$E$1:$E$61,$U13)=0,"нет крючок PT; ",IF(OR(INDEX(Тексты!$E$1:$E$61,$U13)&lt;1,INDEX(Тексты!$E$1:$E$61,$U13)&gt;12),"крючок PT "&amp;INDEX(Тексты!$E$1:$E$61,$U13)&amp;" сл. (нужно 1–12); ",""))&amp;IF(INDEX(Тексты!$O$1:$O$61,$U13)=0,"нет крючок RU; ",IF(OR(INDEX(Тексты!$O$1:$O$61,$U13)&lt;1,INDEX(Тексты!$O$1:$O$61,$U13)&gt;12),"крючок RU "&amp;INDEX(Тексты!$O$1:$O$61,$U13)&amp;" сл. (нужно 1–12); ",""))&amp;IF(INDEX(Тексты!$G$1:$G$61,$U13)=0,"нет история EN; ",IF(OR(INDEX(Тексты!$G$1:$G$61,$U13)&lt;40,INDEX(Тексты!$G$1:$G$61,$U13)&gt;90),"история EN "&amp;INDEX(Тексты!$G$1:$G$61,$U13)&amp;" сл. (нужно 40–90); ",""))&amp;IF(INDEX(Тексты!$I$1:$I$61,$U13)=0,"нет история PT; ",IF(OR(INDEX(Тексты!$I$1:$I$61,$U13)&lt;40,INDEX(Тексты!$I$1:$I$61,$U13)&gt;90),"история PT "&amp;INDEX(Тексты!$I$1:$I$61,$U13)&amp;" сл. (нужно 40–90); ",""))&amp;IF(INDEX(Тексты!$Q$1:$Q$61,$U13)=0,"нет история RU; ",IF(OR(INDEX(Тексты!$Q$1:$Q$61,$U13)&lt;40,INDEX(Тексты!$Q$1:$Q$61,$U13)&gt;90),"история RU "&amp;INDEX(Тексты!$Q$1:$Q$61,$U13)&amp;" сл. (нужно 40–90); ",""))&amp;IF(INDEX(Тексты!$K$1:$K$61,$U13)=0,"нет подробнее EN; ",IF(OR(INDEX(Тексты!$K$1:$K$61,$U13)&lt;1,INDEX(Тексты!$K$1:$K$61,$U13)&gt;250),"подробнее EN "&amp;INDEX(Тексты!$K$1:$K$61,$U13)&amp;" сл. (нужно 1–250); ",""))&amp;IF(INDEX(Тексты!$M$1:$M$61,$U13)=0,"нет подробнее PT; ",IF(OR(INDEX(Тексты!$M$1:$M$61,$U13)&lt;1,INDEX(Тексты!$M$1:$M$61,$U13)&gt;250),"подробнее PT "&amp;INDEX(Тексты!$M$1:$M$61,$U13)&amp;" сл. (нужно 1–250); ",""))&amp;IF(INDEX(Тексты!$S$1:$S$61,$U13)=0,"нет подробнее RU; ",IF(OR(INDEX(Тексты!$S$1:$S$61,$U13)&lt;1,INDEX(Тексты!$S$1:$S$61,$U13)&gt;250),"подробнее RU "&amp;INDEX(Тексты!$S$1:$S$61,$U13)&amp;" сл. (нужно 1–250); ","")))&amp;IF($V13=0,"нет строки в «Места»; ",IF(OR(INDEX(Места!$B$1:$B$61,$V13)="",INDEX(Места!$C$1:$C$61,$V13)="",INDEX(Места!$Q$1:$Q$61,$V13)=""),"нет названия EN/PT/RU; ","")&amp;IF(OR(INDEX(Места!$D$1:$D$61,$V13)="",INDEX(Места!$E$1:$E$61,$V13)="",INDEX(Места!$R$1:$R$61,$V13)=""),"нет slug EN/PT/RU; ","")&amp;IF(INDEX(Места!$K$1:$K$61,$V13)="","нет моста в сегодня; ","")&amp;IF(OR(INDEX(Места!$O$1:$O$61,$V13)="",INDEX(Места!$O$1:$O$61,$V13)="TODO"),"нет сайта моста; ","")&amp;IF(INDEX(Места!$P$1:$P$61,$V13)&lt;&gt;"да","координаты не проверены; ",""))&amp;IF(AND($L13="готово",OR($R13="",$S13="")),"нет рецензента/даты; ",""))</f>
        <v xml:space="preserve">координаты не проверены; </v>
      </c>
    </row>
    <row r="14" spans="1:23" ht="15" customHeight="1" x14ac:dyDescent="0.25">
      <c r="A14" s="12" t="s">
        <v>123</v>
      </c>
      <c r="B14" s="12" t="s">
        <v>177</v>
      </c>
      <c r="C14" s="19" t="s">
        <v>163</v>
      </c>
      <c r="D14" s="19">
        <v>1812</v>
      </c>
      <c r="E14" s="12" t="s">
        <v>203</v>
      </c>
      <c r="F14" s="12" t="s">
        <v>174</v>
      </c>
      <c r="G14" s="12" t="s">
        <v>180</v>
      </c>
      <c r="H14" s="19">
        <v>2</v>
      </c>
      <c r="I14" s="19" t="s">
        <v>37</v>
      </c>
      <c r="J14" s="19" t="s">
        <v>187</v>
      </c>
      <c r="K14" s="19" t="s">
        <v>12</v>
      </c>
      <c r="L14" s="12" t="s">
        <v>167</v>
      </c>
      <c r="M14" s="20">
        <f>IF($A14="","",COUNTIFS(Источники!$A$2:$A$200,$A14,Источники!$G$2:$G$200,"нашли"))</f>
        <v>5</v>
      </c>
      <c r="N14" s="21" t="str">
        <f t="shared" si="0"/>
        <v xml:space="preserve">нет моста в сегодня; нет сайта моста; координаты не проверены; </v>
      </c>
      <c r="O14" s="12" t="s">
        <v>97</v>
      </c>
      <c r="P14" s="12"/>
      <c r="Q14" s="12"/>
      <c r="R14" s="12"/>
      <c r="S14" s="12"/>
      <c r="T14" s="12" t="s">
        <v>204</v>
      </c>
      <c r="U14" s="22">
        <f>IF($A14="",0,IFERROR(MATCH($A14,Тексты!$A$1:$A$61,0),0))</f>
        <v>14</v>
      </c>
      <c r="V14" s="22">
        <f>IF($A14="",0,IFERROR(MATCH($A14,Места!$A$1:$A$61,0),0))</f>
        <v>14</v>
      </c>
      <c r="W14" s="22" t="str">
        <f>IF($A14="","",IF(COUNTIF($A$2:$A$61,$A14)&gt;1,"дубль id; ","")&amp;IF($B14="","нет эпохи; ","")&amp;IF($C14="","нет уровня; ","")&amp;IF($D14="","нет года; ","")&amp;IF($F14="","нет нити; ","")&amp;IF($H14="","нет важности; ","")&amp;IF($I14="","нет метки; ","")&amp;IF($J14="","нет возраста; ","")&amp;IF($K14="","не указана тяжёлая тема; ","")&amp;IF($M14&lt;IF($C14="frame",2,1),"источников "&amp;$M14&amp;" из "&amp;IF($C14="frame",2,1)&amp;"; ","")&amp;IF($U14=0,"нет строки в «Тексты»; ",IF(INDEX(Тексты!$C$1:$C$61,$U14)=0,"нет крючок EN; ",IF(OR(INDEX(Тексты!$C$1:$C$61,$U14)&lt;1,INDEX(Тексты!$C$1:$C$61,$U14)&gt;12),"крючок EN "&amp;INDEX(Тексты!$C$1:$C$61,$U14)&amp;" сл. (нужно 1–12); ",""))&amp;IF(INDEX(Тексты!$E$1:$E$61,$U14)=0,"нет крючок PT; ",IF(OR(INDEX(Тексты!$E$1:$E$61,$U14)&lt;1,INDEX(Тексты!$E$1:$E$61,$U14)&gt;12),"крючок PT "&amp;INDEX(Тексты!$E$1:$E$61,$U14)&amp;" сл. (нужно 1–12); ",""))&amp;IF(INDEX(Тексты!$O$1:$O$61,$U14)=0,"нет крючок RU; ",IF(OR(INDEX(Тексты!$O$1:$O$61,$U14)&lt;1,INDEX(Тексты!$O$1:$O$61,$U14)&gt;12),"крючок RU "&amp;INDEX(Тексты!$O$1:$O$61,$U14)&amp;" сл. (нужно 1–12); ",""))&amp;IF(INDEX(Тексты!$G$1:$G$61,$U14)=0,"нет история EN; ",IF(OR(INDEX(Тексты!$G$1:$G$61,$U14)&lt;40,INDEX(Тексты!$G$1:$G$61,$U14)&gt;90),"история EN "&amp;INDEX(Тексты!$G$1:$G$61,$U14)&amp;" сл. (нужно 40–90); ",""))&amp;IF(INDEX(Тексты!$I$1:$I$61,$U14)=0,"нет история PT; ",IF(OR(INDEX(Тексты!$I$1:$I$61,$U14)&lt;40,INDEX(Тексты!$I$1:$I$61,$U14)&gt;90),"история PT "&amp;INDEX(Тексты!$I$1:$I$61,$U14)&amp;" сл. (нужно 40–90); ",""))&amp;IF(INDEX(Тексты!$Q$1:$Q$61,$U14)=0,"нет история RU; ",IF(OR(INDEX(Тексты!$Q$1:$Q$61,$U14)&lt;40,INDEX(Тексты!$Q$1:$Q$61,$U14)&gt;90),"история RU "&amp;INDEX(Тексты!$Q$1:$Q$61,$U14)&amp;" сл. (нужно 40–90); ",""))&amp;IF(INDEX(Тексты!$K$1:$K$61,$U14)=0,"нет подробнее EN; ",IF(OR(INDEX(Тексты!$K$1:$K$61,$U14)&lt;1,INDEX(Тексты!$K$1:$K$61,$U14)&gt;250),"подробнее EN "&amp;INDEX(Тексты!$K$1:$K$61,$U14)&amp;" сл. (нужно 1–250); ",""))&amp;IF(INDEX(Тексты!$M$1:$M$61,$U14)=0,"нет подробнее PT; ",IF(OR(INDEX(Тексты!$M$1:$M$61,$U14)&lt;1,INDEX(Тексты!$M$1:$M$61,$U14)&gt;250),"подробнее PT "&amp;INDEX(Тексты!$M$1:$M$61,$U14)&amp;" сл. (нужно 1–250); ",""))&amp;IF(INDEX(Тексты!$S$1:$S$61,$U14)=0,"нет подробнее RU; ",IF(OR(INDEX(Тексты!$S$1:$S$61,$U14)&lt;1,INDEX(Тексты!$S$1:$S$61,$U14)&gt;250),"подробнее RU "&amp;INDEX(Тексты!$S$1:$S$61,$U14)&amp;" сл. (нужно 1–250); ","")))&amp;IF($V14=0,"нет строки в «Места»; ",IF(OR(INDEX(Места!$B$1:$B$61,$V14)="",INDEX(Места!$C$1:$C$61,$V14)="",INDEX(Места!$Q$1:$Q$61,$V14)=""),"нет названия EN/PT/RU; ","")&amp;IF(OR(INDEX(Места!$D$1:$D$61,$V14)="",INDEX(Места!$E$1:$E$61,$V14)="",INDEX(Места!$R$1:$R$61,$V14)=""),"нет slug EN/PT/RU; ","")&amp;IF(INDEX(Места!$K$1:$K$61,$V14)="","нет моста в сегодня; ","")&amp;IF(OR(INDEX(Места!$O$1:$O$61,$V14)="",INDEX(Места!$O$1:$O$61,$V14)="TODO"),"нет сайта моста; ","")&amp;IF(INDEX(Места!$P$1:$P$61,$V14)&lt;&gt;"да","координаты не проверены; ",""))&amp;IF(AND($L14="готово",OR($R14="",$S14="")),"нет рецензента/даты; ",""))</f>
        <v xml:space="preserve">нет моста в сегодня; нет сайта моста; координаты не проверены; </v>
      </c>
    </row>
    <row r="15" spans="1:23" ht="15" customHeight="1" x14ac:dyDescent="0.25">
      <c r="A15" s="12"/>
      <c r="B15" s="12"/>
      <c r="C15" s="19"/>
      <c r="D15" s="19"/>
      <c r="E15" s="12"/>
      <c r="F15" s="12"/>
      <c r="G15" s="12"/>
      <c r="H15" s="19"/>
      <c r="I15" s="19"/>
      <c r="J15" s="19"/>
      <c r="K15" s="19"/>
      <c r="L15" s="12"/>
      <c r="M15" s="20" t="str">
        <f>IF($A15="","",COUNTIFS(Источники!$A$2:$A$200,$A15,Источники!$G$2:$G$200,"нашли"))</f>
        <v/>
      </c>
      <c r="N15" s="21" t="str">
        <f t="shared" si="0"/>
        <v/>
      </c>
      <c r="O15" s="12"/>
      <c r="P15" s="12"/>
      <c r="Q15" s="12"/>
      <c r="R15" s="12"/>
      <c r="S15" s="12"/>
      <c r="T15" s="12"/>
      <c r="U15" s="22">
        <f>IF($A15="",0,IFERROR(MATCH($A15,Тексты!$A$1:$A$61,0),0))</f>
        <v>0</v>
      </c>
      <c r="V15" s="22">
        <f>IF($A15="",0,IFERROR(MATCH($A15,Места!$A$1:$A$61,0),0))</f>
        <v>0</v>
      </c>
      <c r="W15" s="22" t="str">
        <f>IF($A15="","",IF(COUNTIF($A$2:$A$61,$A15)&gt;1,"дубль id; ","")&amp;IF($B15="","нет эпохи; ","")&amp;IF($C15="","нет уровня; ","")&amp;IF($D15="","нет года; ","")&amp;IF($F15="","нет нити; ","")&amp;IF($H15="","нет важности; ","")&amp;IF($I15="","нет метки; ","")&amp;IF($J15="","нет возраста; ","")&amp;IF($K15="","не указана тяжёлая тема; ","")&amp;IF($M15&lt;IF($C15="frame",2,1),"источников "&amp;$M15&amp;" из "&amp;IF($C15="frame",2,1)&amp;"; ","")&amp;IF($U15=0,"нет строки в «Тексты»; ",IF(INDEX(Тексты!$C$1:$C$61,$U15)=0,"нет крючок EN; ",IF(OR(INDEX(Тексты!$C$1:$C$61,$U15)&lt;1,INDEX(Тексты!$C$1:$C$61,$U15)&gt;12),"крючок EN "&amp;INDEX(Тексты!$C$1:$C$61,$U15)&amp;" сл. (нужно 1–12); ",""))&amp;IF(INDEX(Тексты!$E$1:$E$61,$U15)=0,"нет крючок PT; ",IF(OR(INDEX(Тексты!$E$1:$E$61,$U15)&lt;1,INDEX(Тексты!$E$1:$E$61,$U15)&gt;12),"крючок PT "&amp;INDEX(Тексты!$E$1:$E$61,$U15)&amp;" сл. (нужно 1–12); ",""))&amp;IF(INDEX(Тексты!$O$1:$O$61,$U15)=0,"нет крючок RU; ",IF(OR(INDEX(Тексты!$O$1:$O$61,$U15)&lt;1,INDEX(Тексты!$O$1:$O$61,$U15)&gt;12),"крючок RU "&amp;INDEX(Тексты!$O$1:$O$61,$U15)&amp;" сл. (нужно 1–12); ",""))&amp;IF(INDEX(Тексты!$G$1:$G$61,$U15)=0,"нет история EN; ",IF(OR(INDEX(Тексты!$G$1:$G$61,$U15)&lt;40,INDEX(Тексты!$G$1:$G$61,$U15)&gt;90),"история EN "&amp;INDEX(Тексты!$G$1:$G$61,$U15)&amp;" сл. (нужно 40–90); ",""))&amp;IF(INDEX(Тексты!$I$1:$I$61,$U15)=0,"нет история PT; ",IF(OR(INDEX(Тексты!$I$1:$I$61,$U15)&lt;40,INDEX(Тексты!$I$1:$I$61,$U15)&gt;90),"история PT "&amp;INDEX(Тексты!$I$1:$I$61,$U15)&amp;" сл. (нужно 40–90); ",""))&amp;IF(INDEX(Тексты!$Q$1:$Q$61,$U15)=0,"нет история RU; ",IF(OR(INDEX(Тексты!$Q$1:$Q$61,$U15)&lt;40,INDEX(Тексты!$Q$1:$Q$61,$U15)&gt;90),"история RU "&amp;INDEX(Тексты!$Q$1:$Q$61,$U15)&amp;" сл. (нужно 40–90); ",""))&amp;IF(INDEX(Тексты!$K$1:$K$61,$U15)=0,"нет подробнее EN; ",IF(OR(INDEX(Тексты!$K$1:$K$61,$U15)&lt;1,INDEX(Тексты!$K$1:$K$61,$U15)&gt;250),"подробнее EN "&amp;INDEX(Тексты!$K$1:$K$61,$U15)&amp;" сл. (нужно 1–250); ",""))&amp;IF(INDEX(Тексты!$M$1:$M$61,$U15)=0,"нет подробнее PT; ",IF(OR(INDEX(Тексты!$M$1:$M$61,$U15)&lt;1,INDEX(Тексты!$M$1:$M$61,$U15)&gt;250),"подробнее PT "&amp;INDEX(Тексты!$M$1:$M$61,$U15)&amp;" сл. (нужно 1–250); ",""))&amp;IF(INDEX(Тексты!$S$1:$S$61,$U15)=0,"нет подробнее RU; ",IF(OR(INDEX(Тексты!$S$1:$S$61,$U15)&lt;1,INDEX(Тексты!$S$1:$S$61,$U15)&gt;250),"подробнее RU "&amp;INDEX(Тексты!$S$1:$S$61,$U15)&amp;" сл. (нужно 1–250); ","")))&amp;IF($V15=0,"нет строки в «Места»; ",IF(OR(INDEX(Места!$B$1:$B$61,$V15)="",INDEX(Места!$C$1:$C$61,$V15)="",INDEX(Места!$Q$1:$Q$61,$V15)=""),"нет названия EN/PT/RU; ","")&amp;IF(OR(INDEX(Места!$D$1:$D$61,$V15)="",INDEX(Места!$E$1:$E$61,$V15)="",INDEX(Места!$R$1:$R$61,$V15)=""),"нет slug EN/PT/RU; ","")&amp;IF(INDEX(Места!$K$1:$K$61,$V15)="","нет моста в сегодня; ","")&amp;IF(OR(INDEX(Места!$O$1:$O$61,$V15)="",INDEX(Места!$O$1:$O$61,$V15)="TODO"),"нет сайта моста; ","")&amp;IF(INDEX(Места!$P$1:$P$61,$V15)&lt;&gt;"да","координаты не проверены; ",""))&amp;IF(AND($L15="готово",OR($R15="",$S15="")),"нет рецензента/даты; ",""))</f>
        <v/>
      </c>
    </row>
    <row r="16" spans="1:23" ht="15" customHeight="1" x14ac:dyDescent="0.25">
      <c r="A16" s="12"/>
      <c r="B16" s="12"/>
      <c r="C16" s="19"/>
      <c r="D16" s="19"/>
      <c r="E16" s="12"/>
      <c r="F16" s="12"/>
      <c r="G16" s="12"/>
      <c r="H16" s="19"/>
      <c r="I16" s="19"/>
      <c r="J16" s="19"/>
      <c r="K16" s="19"/>
      <c r="L16" s="12"/>
      <c r="M16" s="20" t="str">
        <f>IF($A16="","",COUNTIFS(Источники!$A$2:$A$200,$A16,Источники!$G$2:$G$200,"нашли"))</f>
        <v/>
      </c>
      <c r="N16" s="21" t="str">
        <f t="shared" si="0"/>
        <v/>
      </c>
      <c r="O16" s="12"/>
      <c r="P16" s="12"/>
      <c r="Q16" s="12"/>
      <c r="R16" s="12"/>
      <c r="S16" s="12"/>
      <c r="T16" s="12"/>
      <c r="U16" s="22">
        <f>IF($A16="",0,IFERROR(MATCH($A16,Тексты!$A$1:$A$61,0),0))</f>
        <v>0</v>
      </c>
      <c r="V16" s="22">
        <f>IF($A16="",0,IFERROR(MATCH($A16,Места!$A$1:$A$61,0),0))</f>
        <v>0</v>
      </c>
      <c r="W16" s="22" t="str">
        <f>IF($A16="","",IF(COUNTIF($A$2:$A$61,$A16)&gt;1,"дубль id; ","")&amp;IF($B16="","нет эпохи; ","")&amp;IF($C16="","нет уровня; ","")&amp;IF($D16="","нет года; ","")&amp;IF($F16="","нет нити; ","")&amp;IF($H16="","нет важности; ","")&amp;IF($I16="","нет метки; ","")&amp;IF($J16="","нет возраста; ","")&amp;IF($K16="","не указана тяжёлая тема; ","")&amp;IF($M16&lt;IF($C16="frame",2,1),"источников "&amp;$M16&amp;" из "&amp;IF($C16="frame",2,1)&amp;"; ","")&amp;IF($U16=0,"нет строки в «Тексты»; ",IF(INDEX(Тексты!$C$1:$C$61,$U16)=0,"нет крючок EN; ",IF(OR(INDEX(Тексты!$C$1:$C$61,$U16)&lt;1,INDEX(Тексты!$C$1:$C$61,$U16)&gt;12),"крючок EN "&amp;INDEX(Тексты!$C$1:$C$61,$U16)&amp;" сл. (нужно 1–12); ",""))&amp;IF(INDEX(Тексты!$E$1:$E$61,$U16)=0,"нет крючок PT; ",IF(OR(INDEX(Тексты!$E$1:$E$61,$U16)&lt;1,INDEX(Тексты!$E$1:$E$61,$U16)&gt;12),"крючок PT "&amp;INDEX(Тексты!$E$1:$E$61,$U16)&amp;" сл. (нужно 1–12); ",""))&amp;IF(INDEX(Тексты!$O$1:$O$61,$U16)=0,"нет крючок RU; ",IF(OR(INDEX(Тексты!$O$1:$O$61,$U16)&lt;1,INDEX(Тексты!$O$1:$O$61,$U16)&gt;12),"крючок RU "&amp;INDEX(Тексты!$O$1:$O$61,$U16)&amp;" сл. (нужно 1–12); ",""))&amp;IF(INDEX(Тексты!$G$1:$G$61,$U16)=0,"нет история EN; ",IF(OR(INDEX(Тексты!$G$1:$G$61,$U16)&lt;40,INDEX(Тексты!$G$1:$G$61,$U16)&gt;90),"история EN "&amp;INDEX(Тексты!$G$1:$G$61,$U16)&amp;" сл. (нужно 40–90); ",""))&amp;IF(INDEX(Тексты!$I$1:$I$61,$U16)=0,"нет история PT; ",IF(OR(INDEX(Тексты!$I$1:$I$61,$U16)&lt;40,INDEX(Тексты!$I$1:$I$61,$U16)&gt;90),"история PT "&amp;INDEX(Тексты!$I$1:$I$61,$U16)&amp;" сл. (нужно 40–90); ",""))&amp;IF(INDEX(Тексты!$Q$1:$Q$61,$U16)=0,"нет история RU; ",IF(OR(INDEX(Тексты!$Q$1:$Q$61,$U16)&lt;40,INDEX(Тексты!$Q$1:$Q$61,$U16)&gt;90),"история RU "&amp;INDEX(Тексты!$Q$1:$Q$61,$U16)&amp;" сл. (нужно 40–90); ",""))&amp;IF(INDEX(Тексты!$K$1:$K$61,$U16)=0,"нет подробнее EN; ",IF(OR(INDEX(Тексты!$K$1:$K$61,$U16)&lt;1,INDEX(Тексты!$K$1:$K$61,$U16)&gt;250),"подробнее EN "&amp;INDEX(Тексты!$K$1:$K$61,$U16)&amp;" сл. (нужно 1–250); ",""))&amp;IF(INDEX(Тексты!$M$1:$M$61,$U16)=0,"нет подробнее PT; ",IF(OR(INDEX(Тексты!$M$1:$M$61,$U16)&lt;1,INDEX(Тексты!$M$1:$M$61,$U16)&gt;250),"подробнее PT "&amp;INDEX(Тексты!$M$1:$M$61,$U16)&amp;" сл. (нужно 1–250); ",""))&amp;IF(INDEX(Тексты!$S$1:$S$61,$U16)=0,"нет подробнее RU; ",IF(OR(INDEX(Тексты!$S$1:$S$61,$U16)&lt;1,INDEX(Тексты!$S$1:$S$61,$U16)&gt;250),"подробнее RU "&amp;INDEX(Тексты!$S$1:$S$61,$U16)&amp;" сл. (нужно 1–250); ","")))&amp;IF($V16=0,"нет строки в «Места»; ",IF(OR(INDEX(Места!$B$1:$B$61,$V16)="",INDEX(Места!$C$1:$C$61,$V16)="",INDEX(Места!$Q$1:$Q$61,$V16)=""),"нет названия EN/PT/RU; ","")&amp;IF(OR(INDEX(Места!$D$1:$D$61,$V16)="",INDEX(Места!$E$1:$E$61,$V16)="",INDEX(Места!$R$1:$R$61,$V16)=""),"нет slug EN/PT/RU; ","")&amp;IF(INDEX(Места!$K$1:$K$61,$V16)="","нет моста в сегодня; ","")&amp;IF(OR(INDEX(Места!$O$1:$O$61,$V16)="",INDEX(Места!$O$1:$O$61,$V16)="TODO"),"нет сайта моста; ","")&amp;IF(INDEX(Места!$P$1:$P$61,$V16)&lt;&gt;"да","координаты не проверены; ",""))&amp;IF(AND($L16="готово",OR($R16="",$S16="")),"нет рецензента/даты; ",""))</f>
        <v/>
      </c>
    </row>
    <row r="17" spans="1:23" ht="15" customHeight="1" x14ac:dyDescent="0.25">
      <c r="A17" s="12"/>
      <c r="B17" s="12"/>
      <c r="C17" s="19"/>
      <c r="D17" s="19"/>
      <c r="E17" s="12"/>
      <c r="F17" s="12"/>
      <c r="G17" s="12"/>
      <c r="H17" s="19"/>
      <c r="I17" s="19"/>
      <c r="J17" s="19"/>
      <c r="K17" s="19"/>
      <c r="L17" s="12"/>
      <c r="M17" s="20" t="str">
        <f>IF($A17="","",COUNTIFS(Источники!$A$2:$A$200,$A17,Источники!$G$2:$G$200,"нашли"))</f>
        <v/>
      </c>
      <c r="N17" s="21" t="str">
        <f t="shared" si="0"/>
        <v/>
      </c>
      <c r="O17" s="12"/>
      <c r="P17" s="12"/>
      <c r="Q17" s="12"/>
      <c r="R17" s="12"/>
      <c r="S17" s="12"/>
      <c r="T17" s="12"/>
      <c r="U17" s="22">
        <f>IF($A17="",0,IFERROR(MATCH($A17,Тексты!$A$1:$A$61,0),0))</f>
        <v>0</v>
      </c>
      <c r="V17" s="22">
        <f>IF($A17="",0,IFERROR(MATCH($A17,Места!$A$1:$A$61,0),0))</f>
        <v>0</v>
      </c>
      <c r="W17" s="22" t="str">
        <f>IF($A17="","",IF(COUNTIF($A$2:$A$61,$A17)&gt;1,"дубль id; ","")&amp;IF($B17="","нет эпохи; ","")&amp;IF($C17="","нет уровня; ","")&amp;IF($D17="","нет года; ","")&amp;IF($F17="","нет нити; ","")&amp;IF($H17="","нет важности; ","")&amp;IF($I17="","нет метки; ","")&amp;IF($J17="","нет возраста; ","")&amp;IF($K17="","не указана тяжёлая тема; ","")&amp;IF($M17&lt;IF($C17="frame",2,1),"источников "&amp;$M17&amp;" из "&amp;IF($C17="frame",2,1)&amp;"; ","")&amp;IF($U17=0,"нет строки в «Тексты»; ",IF(INDEX(Тексты!$C$1:$C$61,$U17)=0,"нет крючок EN; ",IF(OR(INDEX(Тексты!$C$1:$C$61,$U17)&lt;1,INDEX(Тексты!$C$1:$C$61,$U17)&gt;12),"крючок EN "&amp;INDEX(Тексты!$C$1:$C$61,$U17)&amp;" сл. (нужно 1–12); ",""))&amp;IF(INDEX(Тексты!$E$1:$E$61,$U17)=0,"нет крючок PT; ",IF(OR(INDEX(Тексты!$E$1:$E$61,$U17)&lt;1,INDEX(Тексты!$E$1:$E$61,$U17)&gt;12),"крючок PT "&amp;INDEX(Тексты!$E$1:$E$61,$U17)&amp;" сл. (нужно 1–12); ",""))&amp;IF(INDEX(Тексты!$O$1:$O$61,$U17)=0,"нет крючок RU; ",IF(OR(INDEX(Тексты!$O$1:$O$61,$U17)&lt;1,INDEX(Тексты!$O$1:$O$61,$U17)&gt;12),"крючок RU "&amp;INDEX(Тексты!$O$1:$O$61,$U17)&amp;" сл. (нужно 1–12); ",""))&amp;IF(INDEX(Тексты!$G$1:$G$61,$U17)=0,"нет история EN; ",IF(OR(INDEX(Тексты!$G$1:$G$61,$U17)&lt;40,INDEX(Тексты!$G$1:$G$61,$U17)&gt;90),"история EN "&amp;INDEX(Тексты!$G$1:$G$61,$U17)&amp;" сл. (нужно 40–90); ",""))&amp;IF(INDEX(Тексты!$I$1:$I$61,$U17)=0,"нет история PT; ",IF(OR(INDEX(Тексты!$I$1:$I$61,$U17)&lt;40,INDEX(Тексты!$I$1:$I$61,$U17)&gt;90),"история PT "&amp;INDEX(Тексты!$I$1:$I$61,$U17)&amp;" сл. (нужно 40–90); ",""))&amp;IF(INDEX(Тексты!$Q$1:$Q$61,$U17)=0,"нет история RU; ",IF(OR(INDEX(Тексты!$Q$1:$Q$61,$U17)&lt;40,INDEX(Тексты!$Q$1:$Q$61,$U17)&gt;90),"история RU "&amp;INDEX(Тексты!$Q$1:$Q$61,$U17)&amp;" сл. (нужно 40–90); ",""))&amp;IF(INDEX(Тексты!$K$1:$K$61,$U17)=0,"нет подробнее EN; ",IF(OR(INDEX(Тексты!$K$1:$K$61,$U17)&lt;1,INDEX(Тексты!$K$1:$K$61,$U17)&gt;250),"подробнее EN "&amp;INDEX(Тексты!$K$1:$K$61,$U17)&amp;" сл. (нужно 1–250); ",""))&amp;IF(INDEX(Тексты!$M$1:$M$61,$U17)=0,"нет подробнее PT; ",IF(OR(INDEX(Тексты!$M$1:$M$61,$U17)&lt;1,INDEX(Тексты!$M$1:$M$61,$U17)&gt;250),"подробнее PT "&amp;INDEX(Тексты!$M$1:$M$61,$U17)&amp;" сл. (нужно 1–250); ",""))&amp;IF(INDEX(Тексты!$S$1:$S$61,$U17)=0,"нет подробнее RU; ",IF(OR(INDEX(Тексты!$S$1:$S$61,$U17)&lt;1,INDEX(Тексты!$S$1:$S$61,$U17)&gt;250),"подробнее RU "&amp;INDEX(Тексты!$S$1:$S$61,$U17)&amp;" сл. (нужно 1–250); ","")))&amp;IF($V17=0,"нет строки в «Места»; ",IF(OR(INDEX(Места!$B$1:$B$61,$V17)="",INDEX(Места!$C$1:$C$61,$V17)="",INDEX(Места!$Q$1:$Q$61,$V17)=""),"нет названия EN/PT/RU; ","")&amp;IF(OR(INDEX(Места!$D$1:$D$61,$V17)="",INDEX(Места!$E$1:$E$61,$V17)="",INDEX(Места!$R$1:$R$61,$V17)=""),"нет slug EN/PT/RU; ","")&amp;IF(INDEX(Места!$K$1:$K$61,$V17)="","нет моста в сегодня; ","")&amp;IF(OR(INDEX(Места!$O$1:$O$61,$V17)="",INDEX(Места!$O$1:$O$61,$V17)="TODO"),"нет сайта моста; ","")&amp;IF(INDEX(Места!$P$1:$P$61,$V17)&lt;&gt;"да","координаты не проверены; ",""))&amp;IF(AND($L17="готово",OR($R17="",$S17="")),"нет рецензента/даты; ",""))</f>
        <v/>
      </c>
    </row>
    <row r="18" spans="1:23" ht="15" customHeight="1" x14ac:dyDescent="0.25">
      <c r="A18" s="12"/>
      <c r="B18" s="12"/>
      <c r="C18" s="19"/>
      <c r="D18" s="19"/>
      <c r="E18" s="12"/>
      <c r="F18" s="12"/>
      <c r="G18" s="12"/>
      <c r="H18" s="19"/>
      <c r="I18" s="19"/>
      <c r="J18" s="19"/>
      <c r="K18" s="19"/>
      <c r="L18" s="12"/>
      <c r="M18" s="20" t="str">
        <f>IF($A18="","",COUNTIFS(Источники!$A$2:$A$200,$A18,Источники!$G$2:$G$200,"нашли"))</f>
        <v/>
      </c>
      <c r="N18" s="21" t="str">
        <f t="shared" si="0"/>
        <v/>
      </c>
      <c r="O18" s="12"/>
      <c r="P18" s="12"/>
      <c r="Q18" s="12"/>
      <c r="R18" s="12"/>
      <c r="S18" s="12"/>
      <c r="T18" s="12"/>
      <c r="U18" s="22">
        <f>IF($A18="",0,IFERROR(MATCH($A18,Тексты!$A$1:$A$61,0),0))</f>
        <v>0</v>
      </c>
      <c r="V18" s="22">
        <f>IF($A18="",0,IFERROR(MATCH($A18,Места!$A$1:$A$61,0),0))</f>
        <v>0</v>
      </c>
      <c r="W18" s="22" t="str">
        <f>IF($A18="","",IF(COUNTIF($A$2:$A$61,$A18)&gt;1,"дубль id; ","")&amp;IF($B18="","нет эпохи; ","")&amp;IF($C18="","нет уровня; ","")&amp;IF($D18="","нет года; ","")&amp;IF($F18="","нет нити; ","")&amp;IF($H18="","нет важности; ","")&amp;IF($I18="","нет метки; ","")&amp;IF($J18="","нет возраста; ","")&amp;IF($K18="","не указана тяжёлая тема; ","")&amp;IF($M18&lt;IF($C18="frame",2,1),"источников "&amp;$M18&amp;" из "&amp;IF($C18="frame",2,1)&amp;"; ","")&amp;IF($U18=0,"нет строки в «Тексты»; ",IF(INDEX(Тексты!$C$1:$C$61,$U18)=0,"нет крючок EN; ",IF(OR(INDEX(Тексты!$C$1:$C$61,$U18)&lt;1,INDEX(Тексты!$C$1:$C$61,$U18)&gt;12),"крючок EN "&amp;INDEX(Тексты!$C$1:$C$61,$U18)&amp;" сл. (нужно 1–12); ",""))&amp;IF(INDEX(Тексты!$E$1:$E$61,$U18)=0,"нет крючок PT; ",IF(OR(INDEX(Тексты!$E$1:$E$61,$U18)&lt;1,INDEX(Тексты!$E$1:$E$61,$U18)&gt;12),"крючок PT "&amp;INDEX(Тексты!$E$1:$E$61,$U18)&amp;" сл. (нужно 1–12); ",""))&amp;IF(INDEX(Тексты!$O$1:$O$61,$U18)=0,"нет крючок RU; ",IF(OR(INDEX(Тексты!$O$1:$O$61,$U18)&lt;1,INDEX(Тексты!$O$1:$O$61,$U18)&gt;12),"крючок RU "&amp;INDEX(Тексты!$O$1:$O$61,$U18)&amp;" сл. (нужно 1–12); ",""))&amp;IF(INDEX(Тексты!$G$1:$G$61,$U18)=0,"нет история EN; ",IF(OR(INDEX(Тексты!$G$1:$G$61,$U18)&lt;40,INDEX(Тексты!$G$1:$G$61,$U18)&gt;90),"история EN "&amp;INDEX(Тексты!$G$1:$G$61,$U18)&amp;" сл. (нужно 40–90); ",""))&amp;IF(INDEX(Тексты!$I$1:$I$61,$U18)=0,"нет история PT; ",IF(OR(INDEX(Тексты!$I$1:$I$61,$U18)&lt;40,INDEX(Тексты!$I$1:$I$61,$U18)&gt;90),"история PT "&amp;INDEX(Тексты!$I$1:$I$61,$U18)&amp;" сл. (нужно 40–90); ",""))&amp;IF(INDEX(Тексты!$Q$1:$Q$61,$U18)=0,"нет история RU; ",IF(OR(INDEX(Тексты!$Q$1:$Q$61,$U18)&lt;40,INDEX(Тексты!$Q$1:$Q$61,$U18)&gt;90),"история RU "&amp;INDEX(Тексты!$Q$1:$Q$61,$U18)&amp;" сл. (нужно 40–90); ",""))&amp;IF(INDEX(Тексты!$K$1:$K$61,$U18)=0,"нет подробнее EN; ",IF(OR(INDEX(Тексты!$K$1:$K$61,$U18)&lt;1,INDEX(Тексты!$K$1:$K$61,$U18)&gt;250),"подробнее EN "&amp;INDEX(Тексты!$K$1:$K$61,$U18)&amp;" сл. (нужно 1–250); ",""))&amp;IF(INDEX(Тексты!$M$1:$M$61,$U18)=0,"нет подробнее PT; ",IF(OR(INDEX(Тексты!$M$1:$M$61,$U18)&lt;1,INDEX(Тексты!$M$1:$M$61,$U18)&gt;250),"подробнее PT "&amp;INDEX(Тексты!$M$1:$M$61,$U18)&amp;" сл. (нужно 1–250); ",""))&amp;IF(INDEX(Тексты!$S$1:$S$61,$U18)=0,"нет подробнее RU; ",IF(OR(INDEX(Тексты!$S$1:$S$61,$U18)&lt;1,INDEX(Тексты!$S$1:$S$61,$U18)&gt;250),"подробнее RU "&amp;INDEX(Тексты!$S$1:$S$61,$U18)&amp;" сл. (нужно 1–250); ","")))&amp;IF($V18=0,"нет строки в «Места»; ",IF(OR(INDEX(Места!$B$1:$B$61,$V18)="",INDEX(Места!$C$1:$C$61,$V18)="",INDEX(Места!$Q$1:$Q$61,$V18)=""),"нет названия EN/PT/RU; ","")&amp;IF(OR(INDEX(Места!$D$1:$D$61,$V18)="",INDEX(Места!$E$1:$E$61,$V18)="",INDEX(Места!$R$1:$R$61,$V18)=""),"нет slug EN/PT/RU; ","")&amp;IF(INDEX(Места!$K$1:$K$61,$V18)="","нет моста в сегодня; ","")&amp;IF(OR(INDEX(Места!$O$1:$O$61,$V18)="",INDEX(Места!$O$1:$O$61,$V18)="TODO"),"нет сайта моста; ","")&amp;IF(INDEX(Места!$P$1:$P$61,$V18)&lt;&gt;"да","координаты не проверены; ",""))&amp;IF(AND($L18="готово",OR($R18="",$S18="")),"нет рецензента/даты; ",""))</f>
        <v/>
      </c>
    </row>
    <row r="19" spans="1:23" ht="15" customHeight="1" x14ac:dyDescent="0.25">
      <c r="A19" s="12"/>
      <c r="B19" s="12"/>
      <c r="C19" s="19"/>
      <c r="D19" s="19"/>
      <c r="E19" s="12"/>
      <c r="F19" s="12"/>
      <c r="G19" s="12"/>
      <c r="H19" s="19"/>
      <c r="I19" s="19"/>
      <c r="J19" s="19"/>
      <c r="K19" s="19"/>
      <c r="L19" s="12"/>
      <c r="M19" s="20" t="str">
        <f>IF($A19="","",COUNTIFS(Источники!$A$2:$A$200,$A19,Источники!$G$2:$G$200,"нашли"))</f>
        <v/>
      </c>
      <c r="N19" s="21" t="str">
        <f t="shared" si="0"/>
        <v/>
      </c>
      <c r="O19" s="12"/>
      <c r="P19" s="12"/>
      <c r="Q19" s="12"/>
      <c r="R19" s="12"/>
      <c r="S19" s="12"/>
      <c r="T19" s="12"/>
      <c r="U19" s="22">
        <f>IF($A19="",0,IFERROR(MATCH($A19,Тексты!$A$1:$A$61,0),0))</f>
        <v>0</v>
      </c>
      <c r="V19" s="22">
        <f>IF($A19="",0,IFERROR(MATCH($A19,Места!$A$1:$A$61,0),0))</f>
        <v>0</v>
      </c>
      <c r="W19" s="22" t="str">
        <f>IF($A19="","",IF(COUNTIF($A$2:$A$61,$A19)&gt;1,"дубль id; ","")&amp;IF($B19="","нет эпохи; ","")&amp;IF($C19="","нет уровня; ","")&amp;IF($D19="","нет года; ","")&amp;IF($F19="","нет нити; ","")&amp;IF($H19="","нет важности; ","")&amp;IF($I19="","нет метки; ","")&amp;IF($J19="","нет возраста; ","")&amp;IF($K19="","не указана тяжёлая тема; ","")&amp;IF($M19&lt;IF($C19="frame",2,1),"источников "&amp;$M19&amp;" из "&amp;IF($C19="frame",2,1)&amp;"; ","")&amp;IF($U19=0,"нет строки в «Тексты»; ",IF(INDEX(Тексты!$C$1:$C$61,$U19)=0,"нет крючок EN; ",IF(OR(INDEX(Тексты!$C$1:$C$61,$U19)&lt;1,INDEX(Тексты!$C$1:$C$61,$U19)&gt;12),"крючок EN "&amp;INDEX(Тексты!$C$1:$C$61,$U19)&amp;" сл. (нужно 1–12); ",""))&amp;IF(INDEX(Тексты!$E$1:$E$61,$U19)=0,"нет крючок PT; ",IF(OR(INDEX(Тексты!$E$1:$E$61,$U19)&lt;1,INDEX(Тексты!$E$1:$E$61,$U19)&gt;12),"крючок PT "&amp;INDEX(Тексты!$E$1:$E$61,$U19)&amp;" сл. (нужно 1–12); ",""))&amp;IF(INDEX(Тексты!$O$1:$O$61,$U19)=0,"нет крючок RU; ",IF(OR(INDEX(Тексты!$O$1:$O$61,$U19)&lt;1,INDEX(Тексты!$O$1:$O$61,$U19)&gt;12),"крючок RU "&amp;INDEX(Тексты!$O$1:$O$61,$U19)&amp;" сл. (нужно 1–12); ",""))&amp;IF(INDEX(Тексты!$G$1:$G$61,$U19)=0,"нет история EN; ",IF(OR(INDEX(Тексты!$G$1:$G$61,$U19)&lt;40,INDEX(Тексты!$G$1:$G$61,$U19)&gt;90),"история EN "&amp;INDEX(Тексты!$G$1:$G$61,$U19)&amp;" сл. (нужно 40–90); ",""))&amp;IF(INDEX(Тексты!$I$1:$I$61,$U19)=0,"нет история PT; ",IF(OR(INDEX(Тексты!$I$1:$I$61,$U19)&lt;40,INDEX(Тексты!$I$1:$I$61,$U19)&gt;90),"история PT "&amp;INDEX(Тексты!$I$1:$I$61,$U19)&amp;" сл. (нужно 40–90); ",""))&amp;IF(INDEX(Тексты!$Q$1:$Q$61,$U19)=0,"нет история RU; ",IF(OR(INDEX(Тексты!$Q$1:$Q$61,$U19)&lt;40,INDEX(Тексты!$Q$1:$Q$61,$U19)&gt;90),"история RU "&amp;INDEX(Тексты!$Q$1:$Q$61,$U19)&amp;" сл. (нужно 40–90); ",""))&amp;IF(INDEX(Тексты!$K$1:$K$61,$U19)=0,"нет подробнее EN; ",IF(OR(INDEX(Тексты!$K$1:$K$61,$U19)&lt;1,INDEX(Тексты!$K$1:$K$61,$U19)&gt;250),"подробнее EN "&amp;INDEX(Тексты!$K$1:$K$61,$U19)&amp;" сл. (нужно 1–250); ",""))&amp;IF(INDEX(Тексты!$M$1:$M$61,$U19)=0,"нет подробнее PT; ",IF(OR(INDEX(Тексты!$M$1:$M$61,$U19)&lt;1,INDEX(Тексты!$M$1:$M$61,$U19)&gt;250),"подробнее PT "&amp;INDEX(Тексты!$M$1:$M$61,$U19)&amp;" сл. (нужно 1–250); ",""))&amp;IF(INDEX(Тексты!$S$1:$S$61,$U19)=0,"нет подробнее RU; ",IF(OR(INDEX(Тексты!$S$1:$S$61,$U19)&lt;1,INDEX(Тексты!$S$1:$S$61,$U19)&gt;250),"подробнее RU "&amp;INDEX(Тексты!$S$1:$S$61,$U19)&amp;" сл. (нужно 1–250); ","")))&amp;IF($V19=0,"нет строки в «Места»; ",IF(OR(INDEX(Места!$B$1:$B$61,$V19)="",INDEX(Места!$C$1:$C$61,$V19)="",INDEX(Места!$Q$1:$Q$61,$V19)=""),"нет названия EN/PT/RU; ","")&amp;IF(OR(INDEX(Места!$D$1:$D$61,$V19)="",INDEX(Места!$E$1:$E$61,$V19)="",INDEX(Места!$R$1:$R$61,$V19)=""),"нет slug EN/PT/RU; ","")&amp;IF(INDEX(Места!$K$1:$K$61,$V19)="","нет моста в сегодня; ","")&amp;IF(OR(INDEX(Места!$O$1:$O$61,$V19)="",INDEX(Места!$O$1:$O$61,$V19)="TODO"),"нет сайта моста; ","")&amp;IF(INDEX(Места!$P$1:$P$61,$V19)&lt;&gt;"да","координаты не проверены; ",""))&amp;IF(AND($L19="готово",OR($R19="",$S19="")),"нет рецензента/даты; ",""))</f>
        <v/>
      </c>
    </row>
    <row r="20" spans="1:23" ht="15" customHeight="1" x14ac:dyDescent="0.25">
      <c r="A20" s="12"/>
      <c r="B20" s="12"/>
      <c r="C20" s="19"/>
      <c r="D20" s="19"/>
      <c r="E20" s="12"/>
      <c r="F20" s="12"/>
      <c r="G20" s="12"/>
      <c r="H20" s="19"/>
      <c r="I20" s="19"/>
      <c r="J20" s="19"/>
      <c r="K20" s="19"/>
      <c r="L20" s="12"/>
      <c r="M20" s="20" t="str">
        <f>IF($A20="","",COUNTIFS(Источники!$A$2:$A$200,$A20,Источники!$G$2:$G$200,"нашли"))</f>
        <v/>
      </c>
      <c r="N20" s="21" t="str">
        <f t="shared" si="0"/>
        <v/>
      </c>
      <c r="O20" s="12"/>
      <c r="P20" s="12"/>
      <c r="Q20" s="12"/>
      <c r="R20" s="12"/>
      <c r="S20" s="12"/>
      <c r="T20" s="12"/>
      <c r="U20" s="22">
        <f>IF($A20="",0,IFERROR(MATCH($A20,Тексты!$A$1:$A$61,0),0))</f>
        <v>0</v>
      </c>
      <c r="V20" s="22">
        <f>IF($A20="",0,IFERROR(MATCH($A20,Места!$A$1:$A$61,0),0))</f>
        <v>0</v>
      </c>
      <c r="W20" s="22" t="str">
        <f>IF($A20="","",IF(COUNTIF($A$2:$A$61,$A20)&gt;1,"дубль id; ","")&amp;IF($B20="","нет эпохи; ","")&amp;IF($C20="","нет уровня; ","")&amp;IF($D20="","нет года; ","")&amp;IF($F20="","нет нити; ","")&amp;IF($H20="","нет важности; ","")&amp;IF($I20="","нет метки; ","")&amp;IF($J20="","нет возраста; ","")&amp;IF($K20="","не указана тяжёлая тема; ","")&amp;IF($M20&lt;IF($C20="frame",2,1),"источников "&amp;$M20&amp;" из "&amp;IF($C20="frame",2,1)&amp;"; ","")&amp;IF($U20=0,"нет строки в «Тексты»; ",IF(INDEX(Тексты!$C$1:$C$61,$U20)=0,"нет крючок EN; ",IF(OR(INDEX(Тексты!$C$1:$C$61,$U20)&lt;1,INDEX(Тексты!$C$1:$C$61,$U20)&gt;12),"крючок EN "&amp;INDEX(Тексты!$C$1:$C$61,$U20)&amp;" сл. (нужно 1–12); ",""))&amp;IF(INDEX(Тексты!$E$1:$E$61,$U20)=0,"нет крючок PT; ",IF(OR(INDEX(Тексты!$E$1:$E$61,$U20)&lt;1,INDEX(Тексты!$E$1:$E$61,$U20)&gt;12),"крючок PT "&amp;INDEX(Тексты!$E$1:$E$61,$U20)&amp;" сл. (нужно 1–12); ",""))&amp;IF(INDEX(Тексты!$O$1:$O$61,$U20)=0,"нет крючок RU; ",IF(OR(INDEX(Тексты!$O$1:$O$61,$U20)&lt;1,INDEX(Тексты!$O$1:$O$61,$U20)&gt;12),"крючок RU "&amp;INDEX(Тексты!$O$1:$O$61,$U20)&amp;" сл. (нужно 1–12); ",""))&amp;IF(INDEX(Тексты!$G$1:$G$61,$U20)=0,"нет история EN; ",IF(OR(INDEX(Тексты!$G$1:$G$61,$U20)&lt;40,INDEX(Тексты!$G$1:$G$61,$U20)&gt;90),"история EN "&amp;INDEX(Тексты!$G$1:$G$61,$U20)&amp;" сл. (нужно 40–90); ",""))&amp;IF(INDEX(Тексты!$I$1:$I$61,$U20)=0,"нет история PT; ",IF(OR(INDEX(Тексты!$I$1:$I$61,$U20)&lt;40,INDEX(Тексты!$I$1:$I$61,$U20)&gt;90),"история PT "&amp;INDEX(Тексты!$I$1:$I$61,$U20)&amp;" сл. (нужно 40–90); ",""))&amp;IF(INDEX(Тексты!$Q$1:$Q$61,$U20)=0,"нет история RU; ",IF(OR(INDEX(Тексты!$Q$1:$Q$61,$U20)&lt;40,INDEX(Тексты!$Q$1:$Q$61,$U20)&gt;90),"история RU "&amp;INDEX(Тексты!$Q$1:$Q$61,$U20)&amp;" сл. (нужно 40–90); ",""))&amp;IF(INDEX(Тексты!$K$1:$K$61,$U20)=0,"нет подробнее EN; ",IF(OR(INDEX(Тексты!$K$1:$K$61,$U20)&lt;1,INDEX(Тексты!$K$1:$K$61,$U20)&gt;250),"подробнее EN "&amp;INDEX(Тексты!$K$1:$K$61,$U20)&amp;" сл. (нужно 1–250); ",""))&amp;IF(INDEX(Тексты!$M$1:$M$61,$U20)=0,"нет подробнее PT; ",IF(OR(INDEX(Тексты!$M$1:$M$61,$U20)&lt;1,INDEX(Тексты!$M$1:$M$61,$U20)&gt;250),"подробнее PT "&amp;INDEX(Тексты!$M$1:$M$61,$U20)&amp;" сл. (нужно 1–250); ",""))&amp;IF(INDEX(Тексты!$S$1:$S$61,$U20)=0,"нет подробнее RU; ",IF(OR(INDEX(Тексты!$S$1:$S$61,$U20)&lt;1,INDEX(Тексты!$S$1:$S$61,$U20)&gt;250),"подробнее RU "&amp;INDEX(Тексты!$S$1:$S$61,$U20)&amp;" сл. (нужно 1–250); ","")))&amp;IF($V20=0,"нет строки в «Места»; ",IF(OR(INDEX(Места!$B$1:$B$61,$V20)="",INDEX(Места!$C$1:$C$61,$V20)="",INDEX(Места!$Q$1:$Q$61,$V20)=""),"нет названия EN/PT/RU; ","")&amp;IF(OR(INDEX(Места!$D$1:$D$61,$V20)="",INDEX(Места!$E$1:$E$61,$V20)="",INDEX(Места!$R$1:$R$61,$V20)=""),"нет slug EN/PT/RU; ","")&amp;IF(INDEX(Места!$K$1:$K$61,$V20)="","нет моста в сегодня; ","")&amp;IF(OR(INDEX(Места!$O$1:$O$61,$V20)="",INDEX(Места!$O$1:$O$61,$V20)="TODO"),"нет сайта моста; ","")&amp;IF(INDEX(Места!$P$1:$P$61,$V20)&lt;&gt;"да","координаты не проверены; ",""))&amp;IF(AND($L20="готово",OR($R20="",$S20="")),"нет рецензента/даты; ",""))</f>
        <v/>
      </c>
    </row>
    <row r="21" spans="1:23" ht="15" customHeight="1" x14ac:dyDescent="0.25">
      <c r="A21" s="12"/>
      <c r="B21" s="12"/>
      <c r="C21" s="19"/>
      <c r="D21" s="19"/>
      <c r="E21" s="12"/>
      <c r="F21" s="12"/>
      <c r="G21" s="12"/>
      <c r="H21" s="19"/>
      <c r="I21" s="19"/>
      <c r="J21" s="19"/>
      <c r="K21" s="19"/>
      <c r="L21" s="12"/>
      <c r="M21" s="20" t="str">
        <f>IF($A21="","",COUNTIFS(Источники!$A$2:$A$200,$A21,Источники!$G$2:$G$200,"нашли"))</f>
        <v/>
      </c>
      <c r="N21" s="21" t="str">
        <f t="shared" si="0"/>
        <v/>
      </c>
      <c r="O21" s="12"/>
      <c r="P21" s="12"/>
      <c r="Q21" s="12"/>
      <c r="R21" s="12"/>
      <c r="S21" s="12"/>
      <c r="T21" s="12"/>
      <c r="U21" s="22">
        <f>IF($A21="",0,IFERROR(MATCH($A21,Тексты!$A$1:$A$61,0),0))</f>
        <v>0</v>
      </c>
      <c r="V21" s="22">
        <f>IF($A21="",0,IFERROR(MATCH($A21,Места!$A$1:$A$61,0),0))</f>
        <v>0</v>
      </c>
      <c r="W21" s="22" t="str">
        <f>IF($A21="","",IF(COUNTIF($A$2:$A$61,$A21)&gt;1,"дубль id; ","")&amp;IF($B21="","нет эпохи; ","")&amp;IF($C21="","нет уровня; ","")&amp;IF($D21="","нет года; ","")&amp;IF($F21="","нет нити; ","")&amp;IF($H21="","нет важности; ","")&amp;IF($I21="","нет метки; ","")&amp;IF($J21="","нет возраста; ","")&amp;IF($K21="","не указана тяжёлая тема; ","")&amp;IF($M21&lt;IF($C21="frame",2,1),"источников "&amp;$M21&amp;" из "&amp;IF($C21="frame",2,1)&amp;"; ","")&amp;IF($U21=0,"нет строки в «Тексты»; ",IF(INDEX(Тексты!$C$1:$C$61,$U21)=0,"нет крючок EN; ",IF(OR(INDEX(Тексты!$C$1:$C$61,$U21)&lt;1,INDEX(Тексты!$C$1:$C$61,$U21)&gt;12),"крючок EN "&amp;INDEX(Тексты!$C$1:$C$61,$U21)&amp;" сл. (нужно 1–12); ",""))&amp;IF(INDEX(Тексты!$E$1:$E$61,$U21)=0,"нет крючок PT; ",IF(OR(INDEX(Тексты!$E$1:$E$61,$U21)&lt;1,INDEX(Тексты!$E$1:$E$61,$U21)&gt;12),"крючок PT "&amp;INDEX(Тексты!$E$1:$E$61,$U21)&amp;" сл. (нужно 1–12); ",""))&amp;IF(INDEX(Тексты!$O$1:$O$61,$U21)=0,"нет крючок RU; ",IF(OR(INDEX(Тексты!$O$1:$O$61,$U21)&lt;1,INDEX(Тексты!$O$1:$O$61,$U21)&gt;12),"крючок RU "&amp;INDEX(Тексты!$O$1:$O$61,$U21)&amp;" сл. (нужно 1–12); ",""))&amp;IF(INDEX(Тексты!$G$1:$G$61,$U21)=0,"нет история EN; ",IF(OR(INDEX(Тексты!$G$1:$G$61,$U21)&lt;40,INDEX(Тексты!$G$1:$G$61,$U21)&gt;90),"история EN "&amp;INDEX(Тексты!$G$1:$G$61,$U21)&amp;" сл. (нужно 40–90); ",""))&amp;IF(INDEX(Тексты!$I$1:$I$61,$U21)=0,"нет история PT; ",IF(OR(INDEX(Тексты!$I$1:$I$61,$U21)&lt;40,INDEX(Тексты!$I$1:$I$61,$U21)&gt;90),"история PT "&amp;INDEX(Тексты!$I$1:$I$61,$U21)&amp;" сл. (нужно 40–90); ",""))&amp;IF(INDEX(Тексты!$Q$1:$Q$61,$U21)=0,"нет история RU; ",IF(OR(INDEX(Тексты!$Q$1:$Q$61,$U21)&lt;40,INDEX(Тексты!$Q$1:$Q$61,$U21)&gt;90),"история RU "&amp;INDEX(Тексты!$Q$1:$Q$61,$U21)&amp;" сл. (нужно 40–90); ",""))&amp;IF(INDEX(Тексты!$K$1:$K$61,$U21)=0,"нет подробнее EN; ",IF(OR(INDEX(Тексты!$K$1:$K$61,$U21)&lt;1,INDEX(Тексты!$K$1:$K$61,$U21)&gt;250),"подробнее EN "&amp;INDEX(Тексты!$K$1:$K$61,$U21)&amp;" сл. (нужно 1–250); ",""))&amp;IF(INDEX(Тексты!$M$1:$M$61,$U21)=0,"нет подробнее PT; ",IF(OR(INDEX(Тексты!$M$1:$M$61,$U21)&lt;1,INDEX(Тексты!$M$1:$M$61,$U21)&gt;250),"подробнее PT "&amp;INDEX(Тексты!$M$1:$M$61,$U21)&amp;" сл. (нужно 1–250); ",""))&amp;IF(INDEX(Тексты!$S$1:$S$61,$U21)=0,"нет подробнее RU; ",IF(OR(INDEX(Тексты!$S$1:$S$61,$U21)&lt;1,INDEX(Тексты!$S$1:$S$61,$U21)&gt;250),"подробнее RU "&amp;INDEX(Тексты!$S$1:$S$61,$U21)&amp;" сл. (нужно 1–250); ","")))&amp;IF($V21=0,"нет строки в «Места»; ",IF(OR(INDEX(Места!$B$1:$B$61,$V21)="",INDEX(Места!$C$1:$C$61,$V21)="",INDEX(Места!$Q$1:$Q$61,$V21)=""),"нет названия EN/PT/RU; ","")&amp;IF(OR(INDEX(Места!$D$1:$D$61,$V21)="",INDEX(Места!$E$1:$E$61,$V21)="",INDEX(Места!$R$1:$R$61,$V21)=""),"нет slug EN/PT/RU; ","")&amp;IF(INDEX(Места!$K$1:$K$61,$V21)="","нет моста в сегодня; ","")&amp;IF(OR(INDEX(Места!$O$1:$O$61,$V21)="",INDEX(Места!$O$1:$O$61,$V21)="TODO"),"нет сайта моста; ","")&amp;IF(INDEX(Места!$P$1:$P$61,$V21)&lt;&gt;"да","координаты не проверены; ",""))&amp;IF(AND($L21="готово",OR($R21="",$S21="")),"нет рецензента/даты; ",""))</f>
        <v/>
      </c>
    </row>
    <row r="22" spans="1:23" ht="15" customHeight="1" x14ac:dyDescent="0.25">
      <c r="A22" s="12"/>
      <c r="B22" s="12"/>
      <c r="C22" s="19"/>
      <c r="D22" s="19"/>
      <c r="E22" s="12"/>
      <c r="F22" s="12"/>
      <c r="G22" s="12"/>
      <c r="H22" s="19"/>
      <c r="I22" s="19"/>
      <c r="J22" s="19"/>
      <c r="K22" s="19"/>
      <c r="L22" s="12"/>
      <c r="M22" s="20" t="str">
        <f>IF($A22="","",COUNTIFS(Источники!$A$2:$A$200,$A22,Источники!$G$2:$G$200,"нашли"))</f>
        <v/>
      </c>
      <c r="N22" s="21" t="str">
        <f t="shared" si="0"/>
        <v/>
      </c>
      <c r="O22" s="12"/>
      <c r="P22" s="12"/>
      <c r="Q22" s="12"/>
      <c r="R22" s="12"/>
      <c r="S22" s="12"/>
      <c r="T22" s="12"/>
      <c r="U22" s="22">
        <f>IF($A22="",0,IFERROR(MATCH($A22,Тексты!$A$1:$A$61,0),0))</f>
        <v>0</v>
      </c>
      <c r="V22" s="22">
        <f>IF($A22="",0,IFERROR(MATCH($A22,Места!$A$1:$A$61,0),0))</f>
        <v>0</v>
      </c>
      <c r="W22" s="22" t="str">
        <f>IF($A22="","",IF(COUNTIF($A$2:$A$61,$A22)&gt;1,"дубль id; ","")&amp;IF($B22="","нет эпохи; ","")&amp;IF($C22="","нет уровня; ","")&amp;IF($D22="","нет года; ","")&amp;IF($F22="","нет нити; ","")&amp;IF($H22="","нет важности; ","")&amp;IF($I22="","нет метки; ","")&amp;IF($J22="","нет возраста; ","")&amp;IF($K22="","не указана тяжёлая тема; ","")&amp;IF($M22&lt;IF($C22="frame",2,1),"источников "&amp;$M22&amp;" из "&amp;IF($C22="frame",2,1)&amp;"; ","")&amp;IF($U22=0,"нет строки в «Тексты»; ",IF(INDEX(Тексты!$C$1:$C$61,$U22)=0,"нет крючок EN; ",IF(OR(INDEX(Тексты!$C$1:$C$61,$U22)&lt;1,INDEX(Тексты!$C$1:$C$61,$U22)&gt;12),"крючок EN "&amp;INDEX(Тексты!$C$1:$C$61,$U22)&amp;" сл. (нужно 1–12); ",""))&amp;IF(INDEX(Тексты!$E$1:$E$61,$U22)=0,"нет крючок PT; ",IF(OR(INDEX(Тексты!$E$1:$E$61,$U22)&lt;1,INDEX(Тексты!$E$1:$E$61,$U22)&gt;12),"крючок PT "&amp;INDEX(Тексты!$E$1:$E$61,$U22)&amp;" сл. (нужно 1–12); ",""))&amp;IF(INDEX(Тексты!$O$1:$O$61,$U22)=0,"нет крючок RU; ",IF(OR(INDEX(Тексты!$O$1:$O$61,$U22)&lt;1,INDEX(Тексты!$O$1:$O$61,$U22)&gt;12),"крючок RU "&amp;INDEX(Тексты!$O$1:$O$61,$U22)&amp;" сл. (нужно 1–12); ",""))&amp;IF(INDEX(Тексты!$G$1:$G$61,$U22)=0,"нет история EN; ",IF(OR(INDEX(Тексты!$G$1:$G$61,$U22)&lt;40,INDEX(Тексты!$G$1:$G$61,$U22)&gt;90),"история EN "&amp;INDEX(Тексты!$G$1:$G$61,$U22)&amp;" сл. (нужно 40–90); ",""))&amp;IF(INDEX(Тексты!$I$1:$I$61,$U22)=0,"нет история PT; ",IF(OR(INDEX(Тексты!$I$1:$I$61,$U22)&lt;40,INDEX(Тексты!$I$1:$I$61,$U22)&gt;90),"история PT "&amp;INDEX(Тексты!$I$1:$I$61,$U22)&amp;" сл. (нужно 40–90); ",""))&amp;IF(INDEX(Тексты!$Q$1:$Q$61,$U22)=0,"нет история RU; ",IF(OR(INDEX(Тексты!$Q$1:$Q$61,$U22)&lt;40,INDEX(Тексты!$Q$1:$Q$61,$U22)&gt;90),"история RU "&amp;INDEX(Тексты!$Q$1:$Q$61,$U22)&amp;" сл. (нужно 40–90); ",""))&amp;IF(INDEX(Тексты!$K$1:$K$61,$U22)=0,"нет подробнее EN; ",IF(OR(INDEX(Тексты!$K$1:$K$61,$U22)&lt;1,INDEX(Тексты!$K$1:$K$61,$U22)&gt;250),"подробнее EN "&amp;INDEX(Тексты!$K$1:$K$61,$U22)&amp;" сл. (нужно 1–250); ",""))&amp;IF(INDEX(Тексты!$M$1:$M$61,$U22)=0,"нет подробнее PT; ",IF(OR(INDEX(Тексты!$M$1:$M$61,$U22)&lt;1,INDEX(Тексты!$M$1:$M$61,$U22)&gt;250),"подробнее PT "&amp;INDEX(Тексты!$M$1:$M$61,$U22)&amp;" сл. (нужно 1–250); ",""))&amp;IF(INDEX(Тексты!$S$1:$S$61,$U22)=0,"нет подробнее RU; ",IF(OR(INDEX(Тексты!$S$1:$S$61,$U22)&lt;1,INDEX(Тексты!$S$1:$S$61,$U22)&gt;250),"подробнее RU "&amp;INDEX(Тексты!$S$1:$S$61,$U22)&amp;" сл. (нужно 1–250); ","")))&amp;IF($V22=0,"нет строки в «Места»; ",IF(OR(INDEX(Места!$B$1:$B$61,$V22)="",INDEX(Места!$C$1:$C$61,$V22)="",INDEX(Места!$Q$1:$Q$61,$V22)=""),"нет названия EN/PT/RU; ","")&amp;IF(OR(INDEX(Места!$D$1:$D$61,$V22)="",INDEX(Места!$E$1:$E$61,$V22)="",INDEX(Места!$R$1:$R$61,$V22)=""),"нет slug EN/PT/RU; ","")&amp;IF(INDEX(Места!$K$1:$K$61,$V22)="","нет моста в сегодня; ","")&amp;IF(OR(INDEX(Места!$O$1:$O$61,$V22)="",INDEX(Места!$O$1:$O$61,$V22)="TODO"),"нет сайта моста; ","")&amp;IF(INDEX(Места!$P$1:$P$61,$V22)&lt;&gt;"да","координаты не проверены; ",""))&amp;IF(AND($L22="готово",OR($R22="",$S22="")),"нет рецензента/даты; ",""))</f>
        <v/>
      </c>
    </row>
    <row r="23" spans="1:23" ht="15" customHeight="1" x14ac:dyDescent="0.25">
      <c r="A23" s="12"/>
      <c r="B23" s="12"/>
      <c r="C23" s="19"/>
      <c r="D23" s="19"/>
      <c r="E23" s="12"/>
      <c r="F23" s="12"/>
      <c r="G23" s="12"/>
      <c r="H23" s="19"/>
      <c r="I23" s="19"/>
      <c r="J23" s="19"/>
      <c r="K23" s="19"/>
      <c r="L23" s="12"/>
      <c r="M23" s="20" t="str">
        <f>IF($A23="","",COUNTIFS(Источники!$A$2:$A$200,$A23,Источники!$G$2:$G$200,"нашли"))</f>
        <v/>
      </c>
      <c r="N23" s="21" t="str">
        <f t="shared" si="0"/>
        <v/>
      </c>
      <c r="O23" s="12"/>
      <c r="P23" s="12"/>
      <c r="Q23" s="12"/>
      <c r="R23" s="12"/>
      <c r="S23" s="12"/>
      <c r="T23" s="12"/>
      <c r="U23" s="22">
        <f>IF($A23="",0,IFERROR(MATCH($A23,Тексты!$A$1:$A$61,0),0))</f>
        <v>0</v>
      </c>
      <c r="V23" s="22">
        <f>IF($A23="",0,IFERROR(MATCH($A23,Места!$A$1:$A$61,0),0))</f>
        <v>0</v>
      </c>
      <c r="W23" s="22" t="str">
        <f>IF($A23="","",IF(COUNTIF($A$2:$A$61,$A23)&gt;1,"дубль id; ","")&amp;IF($B23="","нет эпохи; ","")&amp;IF($C23="","нет уровня; ","")&amp;IF($D23="","нет года; ","")&amp;IF($F23="","нет нити; ","")&amp;IF($H23="","нет важности; ","")&amp;IF($I23="","нет метки; ","")&amp;IF($J23="","нет возраста; ","")&amp;IF($K23="","не указана тяжёлая тема; ","")&amp;IF($M23&lt;IF($C23="frame",2,1),"источников "&amp;$M23&amp;" из "&amp;IF($C23="frame",2,1)&amp;"; ","")&amp;IF($U23=0,"нет строки в «Тексты»; ",IF(INDEX(Тексты!$C$1:$C$61,$U23)=0,"нет крючок EN; ",IF(OR(INDEX(Тексты!$C$1:$C$61,$U23)&lt;1,INDEX(Тексты!$C$1:$C$61,$U23)&gt;12),"крючок EN "&amp;INDEX(Тексты!$C$1:$C$61,$U23)&amp;" сл. (нужно 1–12); ",""))&amp;IF(INDEX(Тексты!$E$1:$E$61,$U23)=0,"нет крючок PT; ",IF(OR(INDEX(Тексты!$E$1:$E$61,$U23)&lt;1,INDEX(Тексты!$E$1:$E$61,$U23)&gt;12),"крючок PT "&amp;INDEX(Тексты!$E$1:$E$61,$U23)&amp;" сл. (нужно 1–12); ",""))&amp;IF(INDEX(Тексты!$O$1:$O$61,$U23)=0,"нет крючок RU; ",IF(OR(INDEX(Тексты!$O$1:$O$61,$U23)&lt;1,INDEX(Тексты!$O$1:$O$61,$U23)&gt;12),"крючок RU "&amp;INDEX(Тексты!$O$1:$O$61,$U23)&amp;" сл. (нужно 1–12); ",""))&amp;IF(INDEX(Тексты!$G$1:$G$61,$U23)=0,"нет история EN; ",IF(OR(INDEX(Тексты!$G$1:$G$61,$U23)&lt;40,INDEX(Тексты!$G$1:$G$61,$U23)&gt;90),"история EN "&amp;INDEX(Тексты!$G$1:$G$61,$U23)&amp;" сл. (нужно 40–90); ",""))&amp;IF(INDEX(Тексты!$I$1:$I$61,$U23)=0,"нет история PT; ",IF(OR(INDEX(Тексты!$I$1:$I$61,$U23)&lt;40,INDEX(Тексты!$I$1:$I$61,$U23)&gt;90),"история PT "&amp;INDEX(Тексты!$I$1:$I$61,$U23)&amp;" сл. (нужно 40–90); ",""))&amp;IF(INDEX(Тексты!$Q$1:$Q$61,$U23)=0,"нет история RU; ",IF(OR(INDEX(Тексты!$Q$1:$Q$61,$U23)&lt;40,INDEX(Тексты!$Q$1:$Q$61,$U23)&gt;90),"история RU "&amp;INDEX(Тексты!$Q$1:$Q$61,$U23)&amp;" сл. (нужно 40–90); ",""))&amp;IF(INDEX(Тексты!$K$1:$K$61,$U23)=0,"нет подробнее EN; ",IF(OR(INDEX(Тексты!$K$1:$K$61,$U23)&lt;1,INDEX(Тексты!$K$1:$K$61,$U23)&gt;250),"подробнее EN "&amp;INDEX(Тексты!$K$1:$K$61,$U23)&amp;" сл. (нужно 1–250); ",""))&amp;IF(INDEX(Тексты!$M$1:$M$61,$U23)=0,"нет подробнее PT; ",IF(OR(INDEX(Тексты!$M$1:$M$61,$U23)&lt;1,INDEX(Тексты!$M$1:$M$61,$U23)&gt;250),"подробнее PT "&amp;INDEX(Тексты!$M$1:$M$61,$U23)&amp;" сл. (нужно 1–250); ",""))&amp;IF(INDEX(Тексты!$S$1:$S$61,$U23)=0,"нет подробнее RU; ",IF(OR(INDEX(Тексты!$S$1:$S$61,$U23)&lt;1,INDEX(Тексты!$S$1:$S$61,$U23)&gt;250),"подробнее RU "&amp;INDEX(Тексты!$S$1:$S$61,$U23)&amp;" сл. (нужно 1–250); ","")))&amp;IF($V23=0,"нет строки в «Места»; ",IF(OR(INDEX(Места!$B$1:$B$61,$V23)="",INDEX(Места!$C$1:$C$61,$V23)="",INDEX(Места!$Q$1:$Q$61,$V23)=""),"нет названия EN/PT/RU; ","")&amp;IF(OR(INDEX(Места!$D$1:$D$61,$V23)="",INDEX(Места!$E$1:$E$61,$V23)="",INDEX(Места!$R$1:$R$61,$V23)=""),"нет slug EN/PT/RU; ","")&amp;IF(INDEX(Места!$K$1:$K$61,$V23)="","нет моста в сегодня; ","")&amp;IF(OR(INDEX(Места!$O$1:$O$61,$V23)="",INDEX(Места!$O$1:$O$61,$V23)="TODO"),"нет сайта моста; ","")&amp;IF(INDEX(Места!$P$1:$P$61,$V23)&lt;&gt;"да","координаты не проверены; ",""))&amp;IF(AND($L23="готово",OR($R23="",$S23="")),"нет рецензента/даты; ",""))</f>
        <v/>
      </c>
    </row>
    <row r="24" spans="1:23" ht="15" customHeight="1" x14ac:dyDescent="0.25">
      <c r="A24" s="12"/>
      <c r="B24" s="12"/>
      <c r="C24" s="19"/>
      <c r="D24" s="19"/>
      <c r="E24" s="12"/>
      <c r="F24" s="12"/>
      <c r="G24" s="12"/>
      <c r="H24" s="19"/>
      <c r="I24" s="19"/>
      <c r="J24" s="19"/>
      <c r="K24" s="19"/>
      <c r="L24" s="12"/>
      <c r="M24" s="20" t="str">
        <f>IF($A24="","",COUNTIFS(Источники!$A$2:$A$200,$A24,Источники!$G$2:$G$200,"нашли"))</f>
        <v/>
      </c>
      <c r="N24" s="21" t="str">
        <f t="shared" si="0"/>
        <v/>
      </c>
      <c r="O24" s="12"/>
      <c r="P24" s="12"/>
      <c r="Q24" s="12"/>
      <c r="R24" s="12"/>
      <c r="S24" s="12"/>
      <c r="T24" s="12"/>
      <c r="U24" s="22">
        <f>IF($A24="",0,IFERROR(MATCH($A24,Тексты!$A$1:$A$61,0),0))</f>
        <v>0</v>
      </c>
      <c r="V24" s="22">
        <f>IF($A24="",0,IFERROR(MATCH($A24,Места!$A$1:$A$61,0),0))</f>
        <v>0</v>
      </c>
      <c r="W24" s="22" t="str">
        <f>IF($A24="","",IF(COUNTIF($A$2:$A$61,$A24)&gt;1,"дубль id; ","")&amp;IF($B24="","нет эпохи; ","")&amp;IF($C24="","нет уровня; ","")&amp;IF($D24="","нет года; ","")&amp;IF($F24="","нет нити; ","")&amp;IF($H24="","нет важности; ","")&amp;IF($I24="","нет метки; ","")&amp;IF($J24="","нет возраста; ","")&amp;IF($K24="","не указана тяжёлая тема; ","")&amp;IF($M24&lt;IF($C24="frame",2,1),"источников "&amp;$M24&amp;" из "&amp;IF($C24="frame",2,1)&amp;"; ","")&amp;IF($U24=0,"нет строки в «Тексты»; ",IF(INDEX(Тексты!$C$1:$C$61,$U24)=0,"нет крючок EN; ",IF(OR(INDEX(Тексты!$C$1:$C$61,$U24)&lt;1,INDEX(Тексты!$C$1:$C$61,$U24)&gt;12),"крючок EN "&amp;INDEX(Тексты!$C$1:$C$61,$U24)&amp;" сл. (нужно 1–12); ",""))&amp;IF(INDEX(Тексты!$E$1:$E$61,$U24)=0,"нет крючок PT; ",IF(OR(INDEX(Тексты!$E$1:$E$61,$U24)&lt;1,INDEX(Тексты!$E$1:$E$61,$U24)&gt;12),"крючок PT "&amp;INDEX(Тексты!$E$1:$E$61,$U24)&amp;" сл. (нужно 1–12); ",""))&amp;IF(INDEX(Тексты!$O$1:$O$61,$U24)=0,"нет крючок RU; ",IF(OR(INDEX(Тексты!$O$1:$O$61,$U24)&lt;1,INDEX(Тексты!$O$1:$O$61,$U24)&gt;12),"крючок RU "&amp;INDEX(Тексты!$O$1:$O$61,$U24)&amp;" сл. (нужно 1–12); ",""))&amp;IF(INDEX(Тексты!$G$1:$G$61,$U24)=0,"нет история EN; ",IF(OR(INDEX(Тексты!$G$1:$G$61,$U24)&lt;40,INDEX(Тексты!$G$1:$G$61,$U24)&gt;90),"история EN "&amp;INDEX(Тексты!$G$1:$G$61,$U24)&amp;" сл. (нужно 40–90); ",""))&amp;IF(INDEX(Тексты!$I$1:$I$61,$U24)=0,"нет история PT; ",IF(OR(INDEX(Тексты!$I$1:$I$61,$U24)&lt;40,INDEX(Тексты!$I$1:$I$61,$U24)&gt;90),"история PT "&amp;INDEX(Тексты!$I$1:$I$61,$U24)&amp;" сл. (нужно 40–90); ",""))&amp;IF(INDEX(Тексты!$Q$1:$Q$61,$U24)=0,"нет история RU; ",IF(OR(INDEX(Тексты!$Q$1:$Q$61,$U24)&lt;40,INDEX(Тексты!$Q$1:$Q$61,$U24)&gt;90),"история RU "&amp;INDEX(Тексты!$Q$1:$Q$61,$U24)&amp;" сл. (нужно 40–90); ",""))&amp;IF(INDEX(Тексты!$K$1:$K$61,$U24)=0,"нет подробнее EN; ",IF(OR(INDEX(Тексты!$K$1:$K$61,$U24)&lt;1,INDEX(Тексты!$K$1:$K$61,$U24)&gt;250),"подробнее EN "&amp;INDEX(Тексты!$K$1:$K$61,$U24)&amp;" сл. (нужно 1–250); ",""))&amp;IF(INDEX(Тексты!$M$1:$M$61,$U24)=0,"нет подробнее PT; ",IF(OR(INDEX(Тексты!$M$1:$M$61,$U24)&lt;1,INDEX(Тексты!$M$1:$M$61,$U24)&gt;250),"подробнее PT "&amp;INDEX(Тексты!$M$1:$M$61,$U24)&amp;" сл. (нужно 1–250); ",""))&amp;IF(INDEX(Тексты!$S$1:$S$61,$U24)=0,"нет подробнее RU; ",IF(OR(INDEX(Тексты!$S$1:$S$61,$U24)&lt;1,INDEX(Тексты!$S$1:$S$61,$U24)&gt;250),"подробнее RU "&amp;INDEX(Тексты!$S$1:$S$61,$U24)&amp;" сл. (нужно 1–250); ","")))&amp;IF($V24=0,"нет строки в «Места»; ",IF(OR(INDEX(Места!$B$1:$B$61,$V24)="",INDEX(Места!$C$1:$C$61,$V24)="",INDEX(Места!$Q$1:$Q$61,$V24)=""),"нет названия EN/PT/RU; ","")&amp;IF(OR(INDEX(Места!$D$1:$D$61,$V24)="",INDEX(Места!$E$1:$E$61,$V24)="",INDEX(Места!$R$1:$R$61,$V24)=""),"нет slug EN/PT/RU; ","")&amp;IF(INDEX(Места!$K$1:$K$61,$V24)="","нет моста в сегодня; ","")&amp;IF(OR(INDEX(Места!$O$1:$O$61,$V24)="",INDEX(Места!$O$1:$O$61,$V24)="TODO"),"нет сайта моста; ","")&amp;IF(INDEX(Места!$P$1:$P$61,$V24)&lt;&gt;"да","координаты не проверены; ",""))&amp;IF(AND($L24="готово",OR($R24="",$S24="")),"нет рецензента/даты; ",""))</f>
        <v/>
      </c>
    </row>
    <row r="25" spans="1:23" ht="15" customHeight="1" x14ac:dyDescent="0.25">
      <c r="A25" s="12"/>
      <c r="B25" s="12"/>
      <c r="C25" s="19"/>
      <c r="D25" s="19"/>
      <c r="E25" s="12"/>
      <c r="F25" s="12"/>
      <c r="G25" s="12"/>
      <c r="H25" s="19"/>
      <c r="I25" s="19"/>
      <c r="J25" s="19"/>
      <c r="K25" s="19"/>
      <c r="L25" s="12"/>
      <c r="M25" s="20" t="str">
        <f>IF($A25="","",COUNTIFS(Источники!$A$2:$A$200,$A25,Источники!$G$2:$G$200,"нашли"))</f>
        <v/>
      </c>
      <c r="N25" s="21" t="str">
        <f t="shared" si="0"/>
        <v/>
      </c>
      <c r="O25" s="12"/>
      <c r="P25" s="12"/>
      <c r="Q25" s="12"/>
      <c r="R25" s="12"/>
      <c r="S25" s="12"/>
      <c r="T25" s="12"/>
      <c r="U25" s="22">
        <f>IF($A25="",0,IFERROR(MATCH($A25,Тексты!$A$1:$A$61,0),0))</f>
        <v>0</v>
      </c>
      <c r="V25" s="22">
        <f>IF($A25="",0,IFERROR(MATCH($A25,Места!$A$1:$A$61,0),0))</f>
        <v>0</v>
      </c>
      <c r="W25" s="22" t="str">
        <f>IF($A25="","",IF(COUNTIF($A$2:$A$61,$A25)&gt;1,"дубль id; ","")&amp;IF($B25="","нет эпохи; ","")&amp;IF($C25="","нет уровня; ","")&amp;IF($D25="","нет года; ","")&amp;IF($F25="","нет нити; ","")&amp;IF($H25="","нет важности; ","")&amp;IF($I25="","нет метки; ","")&amp;IF($J25="","нет возраста; ","")&amp;IF($K25="","не указана тяжёлая тема; ","")&amp;IF($M25&lt;IF($C25="frame",2,1),"источников "&amp;$M25&amp;" из "&amp;IF($C25="frame",2,1)&amp;"; ","")&amp;IF($U25=0,"нет строки в «Тексты»; ",IF(INDEX(Тексты!$C$1:$C$61,$U25)=0,"нет крючок EN; ",IF(OR(INDEX(Тексты!$C$1:$C$61,$U25)&lt;1,INDEX(Тексты!$C$1:$C$61,$U25)&gt;12),"крючок EN "&amp;INDEX(Тексты!$C$1:$C$61,$U25)&amp;" сл. (нужно 1–12); ",""))&amp;IF(INDEX(Тексты!$E$1:$E$61,$U25)=0,"нет крючок PT; ",IF(OR(INDEX(Тексты!$E$1:$E$61,$U25)&lt;1,INDEX(Тексты!$E$1:$E$61,$U25)&gt;12),"крючок PT "&amp;INDEX(Тексты!$E$1:$E$61,$U25)&amp;" сл. (нужно 1–12); ",""))&amp;IF(INDEX(Тексты!$O$1:$O$61,$U25)=0,"нет крючок RU; ",IF(OR(INDEX(Тексты!$O$1:$O$61,$U25)&lt;1,INDEX(Тексты!$O$1:$O$61,$U25)&gt;12),"крючок RU "&amp;INDEX(Тексты!$O$1:$O$61,$U25)&amp;" сл. (нужно 1–12); ",""))&amp;IF(INDEX(Тексты!$G$1:$G$61,$U25)=0,"нет история EN; ",IF(OR(INDEX(Тексты!$G$1:$G$61,$U25)&lt;40,INDEX(Тексты!$G$1:$G$61,$U25)&gt;90),"история EN "&amp;INDEX(Тексты!$G$1:$G$61,$U25)&amp;" сл. (нужно 40–90); ",""))&amp;IF(INDEX(Тексты!$I$1:$I$61,$U25)=0,"нет история PT; ",IF(OR(INDEX(Тексты!$I$1:$I$61,$U25)&lt;40,INDEX(Тексты!$I$1:$I$61,$U25)&gt;90),"история PT "&amp;INDEX(Тексты!$I$1:$I$61,$U25)&amp;" сл. (нужно 40–90); ",""))&amp;IF(INDEX(Тексты!$Q$1:$Q$61,$U25)=0,"нет история RU; ",IF(OR(INDEX(Тексты!$Q$1:$Q$61,$U25)&lt;40,INDEX(Тексты!$Q$1:$Q$61,$U25)&gt;90),"история RU "&amp;INDEX(Тексты!$Q$1:$Q$61,$U25)&amp;" сл. (нужно 40–90); ",""))&amp;IF(INDEX(Тексты!$K$1:$K$61,$U25)=0,"нет подробнее EN; ",IF(OR(INDEX(Тексты!$K$1:$K$61,$U25)&lt;1,INDEX(Тексты!$K$1:$K$61,$U25)&gt;250),"подробнее EN "&amp;INDEX(Тексты!$K$1:$K$61,$U25)&amp;" сл. (нужно 1–250); ",""))&amp;IF(INDEX(Тексты!$M$1:$M$61,$U25)=0,"нет подробнее PT; ",IF(OR(INDEX(Тексты!$M$1:$M$61,$U25)&lt;1,INDEX(Тексты!$M$1:$M$61,$U25)&gt;250),"подробнее PT "&amp;INDEX(Тексты!$M$1:$M$61,$U25)&amp;" сл. (нужно 1–250); ",""))&amp;IF(INDEX(Тексты!$S$1:$S$61,$U25)=0,"нет подробнее RU; ",IF(OR(INDEX(Тексты!$S$1:$S$61,$U25)&lt;1,INDEX(Тексты!$S$1:$S$61,$U25)&gt;250),"подробнее RU "&amp;INDEX(Тексты!$S$1:$S$61,$U25)&amp;" сл. (нужно 1–250); ","")))&amp;IF($V25=0,"нет строки в «Места»; ",IF(OR(INDEX(Места!$B$1:$B$61,$V25)="",INDEX(Места!$C$1:$C$61,$V25)="",INDEX(Места!$Q$1:$Q$61,$V25)=""),"нет названия EN/PT/RU; ","")&amp;IF(OR(INDEX(Места!$D$1:$D$61,$V25)="",INDEX(Места!$E$1:$E$61,$V25)="",INDEX(Места!$R$1:$R$61,$V25)=""),"нет slug EN/PT/RU; ","")&amp;IF(INDEX(Места!$K$1:$K$61,$V25)="","нет моста в сегодня; ","")&amp;IF(OR(INDEX(Места!$O$1:$O$61,$V25)="",INDEX(Места!$O$1:$O$61,$V25)="TODO"),"нет сайта моста; ","")&amp;IF(INDEX(Места!$P$1:$P$61,$V25)&lt;&gt;"да","координаты не проверены; ",""))&amp;IF(AND($L25="готово",OR($R25="",$S25="")),"нет рецензента/даты; ",""))</f>
        <v/>
      </c>
    </row>
    <row r="26" spans="1:23" ht="15" customHeight="1" x14ac:dyDescent="0.25">
      <c r="A26" s="12"/>
      <c r="B26" s="12"/>
      <c r="C26" s="19"/>
      <c r="D26" s="19"/>
      <c r="E26" s="12"/>
      <c r="F26" s="12"/>
      <c r="G26" s="12"/>
      <c r="H26" s="19"/>
      <c r="I26" s="19"/>
      <c r="J26" s="19"/>
      <c r="K26" s="19"/>
      <c r="L26" s="12"/>
      <c r="M26" s="20" t="str">
        <f>IF($A26="","",COUNTIFS(Источники!$A$2:$A$200,$A26,Источники!$G$2:$G$200,"нашли"))</f>
        <v/>
      </c>
      <c r="N26" s="21" t="str">
        <f t="shared" si="0"/>
        <v/>
      </c>
      <c r="O26" s="12"/>
      <c r="P26" s="12"/>
      <c r="Q26" s="12"/>
      <c r="R26" s="12"/>
      <c r="S26" s="12"/>
      <c r="T26" s="12"/>
      <c r="U26" s="22">
        <f>IF($A26="",0,IFERROR(MATCH($A26,Тексты!$A$1:$A$61,0),0))</f>
        <v>0</v>
      </c>
      <c r="V26" s="22">
        <f>IF($A26="",0,IFERROR(MATCH($A26,Места!$A$1:$A$61,0),0))</f>
        <v>0</v>
      </c>
      <c r="W26" s="22" t="str">
        <f>IF($A26="","",IF(COUNTIF($A$2:$A$61,$A26)&gt;1,"дубль id; ","")&amp;IF($B26="","нет эпохи; ","")&amp;IF($C26="","нет уровня; ","")&amp;IF($D26="","нет года; ","")&amp;IF($F26="","нет нити; ","")&amp;IF($H26="","нет важности; ","")&amp;IF($I26="","нет метки; ","")&amp;IF($J26="","нет возраста; ","")&amp;IF($K26="","не указана тяжёлая тема; ","")&amp;IF($M26&lt;IF($C26="frame",2,1),"источников "&amp;$M26&amp;" из "&amp;IF($C26="frame",2,1)&amp;"; ","")&amp;IF($U26=0,"нет строки в «Тексты»; ",IF(INDEX(Тексты!$C$1:$C$61,$U26)=0,"нет крючок EN; ",IF(OR(INDEX(Тексты!$C$1:$C$61,$U26)&lt;1,INDEX(Тексты!$C$1:$C$61,$U26)&gt;12),"крючок EN "&amp;INDEX(Тексты!$C$1:$C$61,$U26)&amp;" сл. (нужно 1–12); ",""))&amp;IF(INDEX(Тексты!$E$1:$E$61,$U26)=0,"нет крючок PT; ",IF(OR(INDEX(Тексты!$E$1:$E$61,$U26)&lt;1,INDEX(Тексты!$E$1:$E$61,$U26)&gt;12),"крючок PT "&amp;INDEX(Тексты!$E$1:$E$61,$U26)&amp;" сл. (нужно 1–12); ",""))&amp;IF(INDEX(Тексты!$O$1:$O$61,$U26)=0,"нет крючок RU; ",IF(OR(INDEX(Тексты!$O$1:$O$61,$U26)&lt;1,INDEX(Тексты!$O$1:$O$61,$U26)&gt;12),"крючок RU "&amp;INDEX(Тексты!$O$1:$O$61,$U26)&amp;" сл. (нужно 1–12); ",""))&amp;IF(INDEX(Тексты!$G$1:$G$61,$U26)=0,"нет история EN; ",IF(OR(INDEX(Тексты!$G$1:$G$61,$U26)&lt;40,INDEX(Тексты!$G$1:$G$61,$U26)&gt;90),"история EN "&amp;INDEX(Тексты!$G$1:$G$61,$U26)&amp;" сл. (нужно 40–90); ",""))&amp;IF(INDEX(Тексты!$I$1:$I$61,$U26)=0,"нет история PT; ",IF(OR(INDEX(Тексты!$I$1:$I$61,$U26)&lt;40,INDEX(Тексты!$I$1:$I$61,$U26)&gt;90),"история PT "&amp;INDEX(Тексты!$I$1:$I$61,$U26)&amp;" сл. (нужно 40–90); ",""))&amp;IF(INDEX(Тексты!$Q$1:$Q$61,$U26)=0,"нет история RU; ",IF(OR(INDEX(Тексты!$Q$1:$Q$61,$U26)&lt;40,INDEX(Тексты!$Q$1:$Q$61,$U26)&gt;90),"история RU "&amp;INDEX(Тексты!$Q$1:$Q$61,$U26)&amp;" сл. (нужно 40–90); ",""))&amp;IF(INDEX(Тексты!$K$1:$K$61,$U26)=0,"нет подробнее EN; ",IF(OR(INDEX(Тексты!$K$1:$K$61,$U26)&lt;1,INDEX(Тексты!$K$1:$K$61,$U26)&gt;250),"подробнее EN "&amp;INDEX(Тексты!$K$1:$K$61,$U26)&amp;" сл. (нужно 1–250); ",""))&amp;IF(INDEX(Тексты!$M$1:$M$61,$U26)=0,"нет подробнее PT; ",IF(OR(INDEX(Тексты!$M$1:$M$61,$U26)&lt;1,INDEX(Тексты!$M$1:$M$61,$U26)&gt;250),"подробнее PT "&amp;INDEX(Тексты!$M$1:$M$61,$U26)&amp;" сл. (нужно 1–250); ",""))&amp;IF(INDEX(Тексты!$S$1:$S$61,$U26)=0,"нет подробнее RU; ",IF(OR(INDEX(Тексты!$S$1:$S$61,$U26)&lt;1,INDEX(Тексты!$S$1:$S$61,$U26)&gt;250),"подробнее RU "&amp;INDEX(Тексты!$S$1:$S$61,$U26)&amp;" сл. (нужно 1–250); ","")))&amp;IF($V26=0,"нет строки в «Места»; ",IF(OR(INDEX(Места!$B$1:$B$61,$V26)="",INDEX(Места!$C$1:$C$61,$V26)="",INDEX(Места!$Q$1:$Q$61,$V26)=""),"нет названия EN/PT/RU; ","")&amp;IF(OR(INDEX(Места!$D$1:$D$61,$V26)="",INDEX(Места!$E$1:$E$61,$V26)="",INDEX(Места!$R$1:$R$61,$V26)=""),"нет slug EN/PT/RU; ","")&amp;IF(INDEX(Места!$K$1:$K$61,$V26)="","нет моста в сегодня; ","")&amp;IF(OR(INDEX(Места!$O$1:$O$61,$V26)="",INDEX(Места!$O$1:$O$61,$V26)="TODO"),"нет сайта моста; ","")&amp;IF(INDEX(Места!$P$1:$P$61,$V26)&lt;&gt;"да","координаты не проверены; ",""))&amp;IF(AND($L26="готово",OR($R26="",$S26="")),"нет рецензента/даты; ",""))</f>
        <v/>
      </c>
    </row>
    <row r="27" spans="1:23" ht="15" customHeight="1" x14ac:dyDescent="0.25">
      <c r="A27" s="12"/>
      <c r="B27" s="12"/>
      <c r="C27" s="19"/>
      <c r="D27" s="19"/>
      <c r="E27" s="12"/>
      <c r="F27" s="12"/>
      <c r="G27" s="12"/>
      <c r="H27" s="19"/>
      <c r="I27" s="19"/>
      <c r="J27" s="19"/>
      <c r="K27" s="19"/>
      <c r="L27" s="12"/>
      <c r="M27" s="20" t="str">
        <f>IF($A27="","",COUNTIFS(Источники!$A$2:$A$200,$A27,Источники!$G$2:$G$200,"нашли"))</f>
        <v/>
      </c>
      <c r="N27" s="21" t="str">
        <f t="shared" si="0"/>
        <v/>
      </c>
      <c r="O27" s="12"/>
      <c r="P27" s="12"/>
      <c r="Q27" s="12"/>
      <c r="R27" s="12"/>
      <c r="S27" s="12"/>
      <c r="T27" s="12"/>
      <c r="U27" s="22">
        <f>IF($A27="",0,IFERROR(MATCH($A27,Тексты!$A$1:$A$61,0),0))</f>
        <v>0</v>
      </c>
      <c r="V27" s="22">
        <f>IF($A27="",0,IFERROR(MATCH($A27,Места!$A$1:$A$61,0),0))</f>
        <v>0</v>
      </c>
      <c r="W27" s="22" t="str">
        <f>IF($A27="","",IF(COUNTIF($A$2:$A$61,$A27)&gt;1,"дубль id; ","")&amp;IF($B27="","нет эпохи; ","")&amp;IF($C27="","нет уровня; ","")&amp;IF($D27="","нет года; ","")&amp;IF($F27="","нет нити; ","")&amp;IF($H27="","нет важности; ","")&amp;IF($I27="","нет метки; ","")&amp;IF($J27="","нет возраста; ","")&amp;IF($K27="","не указана тяжёлая тема; ","")&amp;IF($M27&lt;IF($C27="frame",2,1),"источников "&amp;$M27&amp;" из "&amp;IF($C27="frame",2,1)&amp;"; ","")&amp;IF($U27=0,"нет строки в «Тексты»; ",IF(INDEX(Тексты!$C$1:$C$61,$U27)=0,"нет крючок EN; ",IF(OR(INDEX(Тексты!$C$1:$C$61,$U27)&lt;1,INDEX(Тексты!$C$1:$C$61,$U27)&gt;12),"крючок EN "&amp;INDEX(Тексты!$C$1:$C$61,$U27)&amp;" сл. (нужно 1–12); ",""))&amp;IF(INDEX(Тексты!$E$1:$E$61,$U27)=0,"нет крючок PT; ",IF(OR(INDEX(Тексты!$E$1:$E$61,$U27)&lt;1,INDEX(Тексты!$E$1:$E$61,$U27)&gt;12),"крючок PT "&amp;INDEX(Тексты!$E$1:$E$61,$U27)&amp;" сл. (нужно 1–12); ",""))&amp;IF(INDEX(Тексты!$O$1:$O$61,$U27)=0,"нет крючок RU; ",IF(OR(INDEX(Тексты!$O$1:$O$61,$U27)&lt;1,INDEX(Тексты!$O$1:$O$61,$U27)&gt;12),"крючок RU "&amp;INDEX(Тексты!$O$1:$O$61,$U27)&amp;" сл. (нужно 1–12); ",""))&amp;IF(INDEX(Тексты!$G$1:$G$61,$U27)=0,"нет история EN; ",IF(OR(INDEX(Тексты!$G$1:$G$61,$U27)&lt;40,INDEX(Тексты!$G$1:$G$61,$U27)&gt;90),"история EN "&amp;INDEX(Тексты!$G$1:$G$61,$U27)&amp;" сл. (нужно 40–90); ",""))&amp;IF(INDEX(Тексты!$I$1:$I$61,$U27)=0,"нет история PT; ",IF(OR(INDEX(Тексты!$I$1:$I$61,$U27)&lt;40,INDEX(Тексты!$I$1:$I$61,$U27)&gt;90),"история PT "&amp;INDEX(Тексты!$I$1:$I$61,$U27)&amp;" сл. (нужно 40–90); ",""))&amp;IF(INDEX(Тексты!$Q$1:$Q$61,$U27)=0,"нет история RU; ",IF(OR(INDEX(Тексты!$Q$1:$Q$61,$U27)&lt;40,INDEX(Тексты!$Q$1:$Q$61,$U27)&gt;90),"история RU "&amp;INDEX(Тексты!$Q$1:$Q$61,$U27)&amp;" сл. (нужно 40–90); ",""))&amp;IF(INDEX(Тексты!$K$1:$K$61,$U27)=0,"нет подробнее EN; ",IF(OR(INDEX(Тексты!$K$1:$K$61,$U27)&lt;1,INDEX(Тексты!$K$1:$K$61,$U27)&gt;250),"подробнее EN "&amp;INDEX(Тексты!$K$1:$K$61,$U27)&amp;" сл. (нужно 1–250); ",""))&amp;IF(INDEX(Тексты!$M$1:$M$61,$U27)=0,"нет подробнее PT; ",IF(OR(INDEX(Тексты!$M$1:$M$61,$U27)&lt;1,INDEX(Тексты!$M$1:$M$61,$U27)&gt;250),"подробнее PT "&amp;INDEX(Тексты!$M$1:$M$61,$U27)&amp;" сл. (нужно 1–250); ",""))&amp;IF(INDEX(Тексты!$S$1:$S$61,$U27)=0,"нет подробнее RU; ",IF(OR(INDEX(Тексты!$S$1:$S$61,$U27)&lt;1,INDEX(Тексты!$S$1:$S$61,$U27)&gt;250),"подробнее RU "&amp;INDEX(Тексты!$S$1:$S$61,$U27)&amp;" сл. (нужно 1–250); ","")))&amp;IF($V27=0,"нет строки в «Места»; ",IF(OR(INDEX(Места!$B$1:$B$61,$V27)="",INDEX(Места!$C$1:$C$61,$V27)="",INDEX(Места!$Q$1:$Q$61,$V27)=""),"нет названия EN/PT/RU; ","")&amp;IF(OR(INDEX(Места!$D$1:$D$61,$V27)="",INDEX(Места!$E$1:$E$61,$V27)="",INDEX(Места!$R$1:$R$61,$V27)=""),"нет slug EN/PT/RU; ","")&amp;IF(INDEX(Места!$K$1:$K$61,$V27)="","нет моста в сегодня; ","")&amp;IF(OR(INDEX(Места!$O$1:$O$61,$V27)="",INDEX(Места!$O$1:$O$61,$V27)="TODO"),"нет сайта моста; ","")&amp;IF(INDEX(Места!$P$1:$P$61,$V27)&lt;&gt;"да","координаты не проверены; ",""))&amp;IF(AND($L27="готово",OR($R27="",$S27="")),"нет рецензента/даты; ",""))</f>
        <v/>
      </c>
    </row>
    <row r="28" spans="1:23" ht="15" customHeight="1" x14ac:dyDescent="0.25">
      <c r="A28" s="12"/>
      <c r="B28" s="12"/>
      <c r="C28" s="19"/>
      <c r="D28" s="19"/>
      <c r="E28" s="12"/>
      <c r="F28" s="12"/>
      <c r="G28" s="12"/>
      <c r="H28" s="19"/>
      <c r="I28" s="19"/>
      <c r="J28" s="19"/>
      <c r="K28" s="19"/>
      <c r="L28" s="12"/>
      <c r="M28" s="20" t="str">
        <f>IF($A28="","",COUNTIFS(Источники!$A$2:$A$200,$A28,Источники!$G$2:$G$200,"нашли"))</f>
        <v/>
      </c>
      <c r="N28" s="21" t="str">
        <f t="shared" si="0"/>
        <v/>
      </c>
      <c r="O28" s="12"/>
      <c r="P28" s="12"/>
      <c r="Q28" s="12"/>
      <c r="R28" s="12"/>
      <c r="S28" s="12"/>
      <c r="T28" s="12"/>
      <c r="U28" s="22">
        <f>IF($A28="",0,IFERROR(MATCH($A28,Тексты!$A$1:$A$61,0),0))</f>
        <v>0</v>
      </c>
      <c r="V28" s="22">
        <f>IF($A28="",0,IFERROR(MATCH($A28,Места!$A$1:$A$61,0),0))</f>
        <v>0</v>
      </c>
      <c r="W28" s="22" t="str">
        <f>IF($A28="","",IF(COUNTIF($A$2:$A$61,$A28)&gt;1,"дубль id; ","")&amp;IF($B28="","нет эпохи; ","")&amp;IF($C28="","нет уровня; ","")&amp;IF($D28="","нет года; ","")&amp;IF($F28="","нет нити; ","")&amp;IF($H28="","нет важности; ","")&amp;IF($I28="","нет метки; ","")&amp;IF($J28="","нет возраста; ","")&amp;IF($K28="","не указана тяжёлая тема; ","")&amp;IF($M28&lt;IF($C28="frame",2,1),"источников "&amp;$M28&amp;" из "&amp;IF($C28="frame",2,1)&amp;"; ","")&amp;IF($U28=0,"нет строки в «Тексты»; ",IF(INDEX(Тексты!$C$1:$C$61,$U28)=0,"нет крючок EN; ",IF(OR(INDEX(Тексты!$C$1:$C$61,$U28)&lt;1,INDEX(Тексты!$C$1:$C$61,$U28)&gt;12),"крючок EN "&amp;INDEX(Тексты!$C$1:$C$61,$U28)&amp;" сл. (нужно 1–12); ",""))&amp;IF(INDEX(Тексты!$E$1:$E$61,$U28)=0,"нет крючок PT; ",IF(OR(INDEX(Тексты!$E$1:$E$61,$U28)&lt;1,INDEX(Тексты!$E$1:$E$61,$U28)&gt;12),"крючок PT "&amp;INDEX(Тексты!$E$1:$E$61,$U28)&amp;" сл. (нужно 1–12); ",""))&amp;IF(INDEX(Тексты!$O$1:$O$61,$U28)=0,"нет крючок RU; ",IF(OR(INDEX(Тексты!$O$1:$O$61,$U28)&lt;1,INDEX(Тексты!$O$1:$O$61,$U28)&gt;12),"крючок RU "&amp;INDEX(Тексты!$O$1:$O$61,$U28)&amp;" сл. (нужно 1–12); ",""))&amp;IF(INDEX(Тексты!$G$1:$G$61,$U28)=0,"нет история EN; ",IF(OR(INDEX(Тексты!$G$1:$G$61,$U28)&lt;40,INDEX(Тексты!$G$1:$G$61,$U28)&gt;90),"история EN "&amp;INDEX(Тексты!$G$1:$G$61,$U28)&amp;" сл. (нужно 40–90); ",""))&amp;IF(INDEX(Тексты!$I$1:$I$61,$U28)=0,"нет история PT; ",IF(OR(INDEX(Тексты!$I$1:$I$61,$U28)&lt;40,INDEX(Тексты!$I$1:$I$61,$U28)&gt;90),"история PT "&amp;INDEX(Тексты!$I$1:$I$61,$U28)&amp;" сл. (нужно 40–90); ",""))&amp;IF(INDEX(Тексты!$Q$1:$Q$61,$U28)=0,"нет история RU; ",IF(OR(INDEX(Тексты!$Q$1:$Q$61,$U28)&lt;40,INDEX(Тексты!$Q$1:$Q$61,$U28)&gt;90),"история RU "&amp;INDEX(Тексты!$Q$1:$Q$61,$U28)&amp;" сл. (нужно 40–90); ",""))&amp;IF(INDEX(Тексты!$K$1:$K$61,$U28)=0,"нет подробнее EN; ",IF(OR(INDEX(Тексты!$K$1:$K$61,$U28)&lt;1,INDEX(Тексты!$K$1:$K$61,$U28)&gt;250),"подробнее EN "&amp;INDEX(Тексты!$K$1:$K$61,$U28)&amp;" сл. (нужно 1–250); ",""))&amp;IF(INDEX(Тексты!$M$1:$M$61,$U28)=0,"нет подробнее PT; ",IF(OR(INDEX(Тексты!$M$1:$M$61,$U28)&lt;1,INDEX(Тексты!$M$1:$M$61,$U28)&gt;250),"подробнее PT "&amp;INDEX(Тексты!$M$1:$M$61,$U28)&amp;" сл. (нужно 1–250); ",""))&amp;IF(INDEX(Тексты!$S$1:$S$61,$U28)=0,"нет подробнее RU; ",IF(OR(INDEX(Тексты!$S$1:$S$61,$U28)&lt;1,INDEX(Тексты!$S$1:$S$61,$U28)&gt;250),"подробнее RU "&amp;INDEX(Тексты!$S$1:$S$61,$U28)&amp;" сл. (нужно 1–250); ","")))&amp;IF($V28=0,"нет строки в «Места»; ",IF(OR(INDEX(Места!$B$1:$B$61,$V28)="",INDEX(Места!$C$1:$C$61,$V28)="",INDEX(Места!$Q$1:$Q$61,$V28)=""),"нет названия EN/PT/RU; ","")&amp;IF(OR(INDEX(Места!$D$1:$D$61,$V28)="",INDEX(Места!$E$1:$E$61,$V28)="",INDEX(Места!$R$1:$R$61,$V28)=""),"нет slug EN/PT/RU; ","")&amp;IF(INDEX(Места!$K$1:$K$61,$V28)="","нет моста в сегодня; ","")&amp;IF(OR(INDEX(Места!$O$1:$O$61,$V28)="",INDEX(Места!$O$1:$O$61,$V28)="TODO"),"нет сайта моста; ","")&amp;IF(INDEX(Места!$P$1:$P$61,$V28)&lt;&gt;"да","координаты не проверены; ",""))&amp;IF(AND($L28="готово",OR($R28="",$S28="")),"нет рецензента/даты; ",""))</f>
        <v/>
      </c>
    </row>
    <row r="29" spans="1:23" ht="15" customHeight="1" x14ac:dyDescent="0.25">
      <c r="A29" s="12"/>
      <c r="B29" s="12"/>
      <c r="C29" s="19"/>
      <c r="D29" s="19"/>
      <c r="E29" s="12"/>
      <c r="F29" s="12"/>
      <c r="G29" s="12"/>
      <c r="H29" s="19"/>
      <c r="I29" s="19"/>
      <c r="J29" s="19"/>
      <c r="K29" s="19"/>
      <c r="L29" s="12"/>
      <c r="M29" s="20" t="str">
        <f>IF($A29="","",COUNTIFS(Источники!$A$2:$A$200,$A29,Источники!$G$2:$G$200,"нашли"))</f>
        <v/>
      </c>
      <c r="N29" s="21" t="str">
        <f t="shared" si="0"/>
        <v/>
      </c>
      <c r="O29" s="12"/>
      <c r="P29" s="12"/>
      <c r="Q29" s="12"/>
      <c r="R29" s="12"/>
      <c r="S29" s="12"/>
      <c r="T29" s="12"/>
      <c r="U29" s="22">
        <f>IF($A29="",0,IFERROR(MATCH($A29,Тексты!$A$1:$A$61,0),0))</f>
        <v>0</v>
      </c>
      <c r="V29" s="22">
        <f>IF($A29="",0,IFERROR(MATCH($A29,Места!$A$1:$A$61,0),0))</f>
        <v>0</v>
      </c>
      <c r="W29" s="22" t="str">
        <f>IF($A29="","",IF(COUNTIF($A$2:$A$61,$A29)&gt;1,"дубль id; ","")&amp;IF($B29="","нет эпохи; ","")&amp;IF($C29="","нет уровня; ","")&amp;IF($D29="","нет года; ","")&amp;IF($F29="","нет нити; ","")&amp;IF($H29="","нет важности; ","")&amp;IF($I29="","нет метки; ","")&amp;IF($J29="","нет возраста; ","")&amp;IF($K29="","не указана тяжёлая тема; ","")&amp;IF($M29&lt;IF($C29="frame",2,1),"источников "&amp;$M29&amp;" из "&amp;IF($C29="frame",2,1)&amp;"; ","")&amp;IF($U29=0,"нет строки в «Тексты»; ",IF(INDEX(Тексты!$C$1:$C$61,$U29)=0,"нет крючок EN; ",IF(OR(INDEX(Тексты!$C$1:$C$61,$U29)&lt;1,INDEX(Тексты!$C$1:$C$61,$U29)&gt;12),"крючок EN "&amp;INDEX(Тексты!$C$1:$C$61,$U29)&amp;" сл. (нужно 1–12); ",""))&amp;IF(INDEX(Тексты!$E$1:$E$61,$U29)=0,"нет крючок PT; ",IF(OR(INDEX(Тексты!$E$1:$E$61,$U29)&lt;1,INDEX(Тексты!$E$1:$E$61,$U29)&gt;12),"крючок PT "&amp;INDEX(Тексты!$E$1:$E$61,$U29)&amp;" сл. (нужно 1–12); ",""))&amp;IF(INDEX(Тексты!$O$1:$O$61,$U29)=0,"нет крючок RU; ",IF(OR(INDEX(Тексты!$O$1:$O$61,$U29)&lt;1,INDEX(Тексты!$O$1:$O$61,$U29)&gt;12),"крючок RU "&amp;INDEX(Тексты!$O$1:$O$61,$U29)&amp;" сл. (нужно 1–12); ",""))&amp;IF(INDEX(Тексты!$G$1:$G$61,$U29)=0,"нет история EN; ",IF(OR(INDEX(Тексты!$G$1:$G$61,$U29)&lt;40,INDEX(Тексты!$G$1:$G$61,$U29)&gt;90),"история EN "&amp;INDEX(Тексты!$G$1:$G$61,$U29)&amp;" сл. (нужно 40–90); ",""))&amp;IF(INDEX(Тексты!$I$1:$I$61,$U29)=0,"нет история PT; ",IF(OR(INDEX(Тексты!$I$1:$I$61,$U29)&lt;40,INDEX(Тексты!$I$1:$I$61,$U29)&gt;90),"история PT "&amp;INDEX(Тексты!$I$1:$I$61,$U29)&amp;" сл. (нужно 40–90); ",""))&amp;IF(INDEX(Тексты!$Q$1:$Q$61,$U29)=0,"нет история RU; ",IF(OR(INDEX(Тексты!$Q$1:$Q$61,$U29)&lt;40,INDEX(Тексты!$Q$1:$Q$61,$U29)&gt;90),"история RU "&amp;INDEX(Тексты!$Q$1:$Q$61,$U29)&amp;" сл. (нужно 40–90); ",""))&amp;IF(INDEX(Тексты!$K$1:$K$61,$U29)=0,"нет подробнее EN; ",IF(OR(INDEX(Тексты!$K$1:$K$61,$U29)&lt;1,INDEX(Тексты!$K$1:$K$61,$U29)&gt;250),"подробнее EN "&amp;INDEX(Тексты!$K$1:$K$61,$U29)&amp;" сл. (нужно 1–250); ",""))&amp;IF(INDEX(Тексты!$M$1:$M$61,$U29)=0,"нет подробнее PT; ",IF(OR(INDEX(Тексты!$M$1:$M$61,$U29)&lt;1,INDEX(Тексты!$M$1:$M$61,$U29)&gt;250),"подробнее PT "&amp;INDEX(Тексты!$M$1:$M$61,$U29)&amp;" сл. (нужно 1–250); ",""))&amp;IF(INDEX(Тексты!$S$1:$S$61,$U29)=0,"нет подробнее RU; ",IF(OR(INDEX(Тексты!$S$1:$S$61,$U29)&lt;1,INDEX(Тексты!$S$1:$S$61,$U29)&gt;250),"подробнее RU "&amp;INDEX(Тексты!$S$1:$S$61,$U29)&amp;" сл. (нужно 1–250); ","")))&amp;IF($V29=0,"нет строки в «Места»; ",IF(OR(INDEX(Места!$B$1:$B$61,$V29)="",INDEX(Места!$C$1:$C$61,$V29)="",INDEX(Места!$Q$1:$Q$61,$V29)=""),"нет названия EN/PT/RU; ","")&amp;IF(OR(INDEX(Места!$D$1:$D$61,$V29)="",INDEX(Места!$E$1:$E$61,$V29)="",INDEX(Места!$R$1:$R$61,$V29)=""),"нет slug EN/PT/RU; ","")&amp;IF(INDEX(Места!$K$1:$K$61,$V29)="","нет моста в сегодня; ","")&amp;IF(OR(INDEX(Места!$O$1:$O$61,$V29)="",INDEX(Места!$O$1:$O$61,$V29)="TODO"),"нет сайта моста; ","")&amp;IF(INDEX(Места!$P$1:$P$61,$V29)&lt;&gt;"да","координаты не проверены; ",""))&amp;IF(AND($L29="готово",OR($R29="",$S29="")),"нет рецензента/даты; ",""))</f>
        <v/>
      </c>
    </row>
    <row r="30" spans="1:23" ht="15" customHeight="1" x14ac:dyDescent="0.25">
      <c r="A30" s="12"/>
      <c r="B30" s="12"/>
      <c r="C30" s="19"/>
      <c r="D30" s="19"/>
      <c r="E30" s="12"/>
      <c r="F30" s="12"/>
      <c r="G30" s="12"/>
      <c r="H30" s="19"/>
      <c r="I30" s="19"/>
      <c r="J30" s="19"/>
      <c r="K30" s="19"/>
      <c r="L30" s="12"/>
      <c r="M30" s="20" t="str">
        <f>IF($A30="","",COUNTIFS(Источники!$A$2:$A$200,$A30,Источники!$G$2:$G$200,"нашли"))</f>
        <v/>
      </c>
      <c r="N30" s="21" t="str">
        <f t="shared" si="0"/>
        <v/>
      </c>
      <c r="O30" s="12"/>
      <c r="P30" s="12"/>
      <c r="Q30" s="12"/>
      <c r="R30" s="12"/>
      <c r="S30" s="12"/>
      <c r="T30" s="12"/>
      <c r="U30" s="22">
        <f>IF($A30="",0,IFERROR(MATCH($A30,Тексты!$A$1:$A$61,0),0))</f>
        <v>0</v>
      </c>
      <c r="V30" s="22">
        <f>IF($A30="",0,IFERROR(MATCH($A30,Места!$A$1:$A$61,0),0))</f>
        <v>0</v>
      </c>
      <c r="W30" s="22" t="str">
        <f>IF($A30="","",IF(COUNTIF($A$2:$A$61,$A30)&gt;1,"дубль id; ","")&amp;IF($B30="","нет эпохи; ","")&amp;IF($C30="","нет уровня; ","")&amp;IF($D30="","нет года; ","")&amp;IF($F30="","нет нити; ","")&amp;IF($H30="","нет важности; ","")&amp;IF($I30="","нет метки; ","")&amp;IF($J30="","нет возраста; ","")&amp;IF($K30="","не указана тяжёлая тема; ","")&amp;IF($M30&lt;IF($C30="frame",2,1),"источников "&amp;$M30&amp;" из "&amp;IF($C30="frame",2,1)&amp;"; ","")&amp;IF($U30=0,"нет строки в «Тексты»; ",IF(INDEX(Тексты!$C$1:$C$61,$U30)=0,"нет крючок EN; ",IF(OR(INDEX(Тексты!$C$1:$C$61,$U30)&lt;1,INDEX(Тексты!$C$1:$C$61,$U30)&gt;12),"крючок EN "&amp;INDEX(Тексты!$C$1:$C$61,$U30)&amp;" сл. (нужно 1–12); ",""))&amp;IF(INDEX(Тексты!$E$1:$E$61,$U30)=0,"нет крючок PT; ",IF(OR(INDEX(Тексты!$E$1:$E$61,$U30)&lt;1,INDEX(Тексты!$E$1:$E$61,$U30)&gt;12),"крючок PT "&amp;INDEX(Тексты!$E$1:$E$61,$U30)&amp;" сл. (нужно 1–12); ",""))&amp;IF(INDEX(Тексты!$O$1:$O$61,$U30)=0,"нет крючок RU; ",IF(OR(INDEX(Тексты!$O$1:$O$61,$U30)&lt;1,INDEX(Тексты!$O$1:$O$61,$U30)&gt;12),"крючок RU "&amp;INDEX(Тексты!$O$1:$O$61,$U30)&amp;" сл. (нужно 1–12); ",""))&amp;IF(INDEX(Тексты!$G$1:$G$61,$U30)=0,"нет история EN; ",IF(OR(INDEX(Тексты!$G$1:$G$61,$U30)&lt;40,INDEX(Тексты!$G$1:$G$61,$U30)&gt;90),"история EN "&amp;INDEX(Тексты!$G$1:$G$61,$U30)&amp;" сл. (нужно 40–90); ",""))&amp;IF(INDEX(Тексты!$I$1:$I$61,$U30)=0,"нет история PT; ",IF(OR(INDEX(Тексты!$I$1:$I$61,$U30)&lt;40,INDEX(Тексты!$I$1:$I$61,$U30)&gt;90),"история PT "&amp;INDEX(Тексты!$I$1:$I$61,$U30)&amp;" сл. (нужно 40–90); ",""))&amp;IF(INDEX(Тексты!$Q$1:$Q$61,$U30)=0,"нет история RU; ",IF(OR(INDEX(Тексты!$Q$1:$Q$61,$U30)&lt;40,INDEX(Тексты!$Q$1:$Q$61,$U30)&gt;90),"история RU "&amp;INDEX(Тексты!$Q$1:$Q$61,$U30)&amp;" сл. (нужно 40–90); ",""))&amp;IF(INDEX(Тексты!$K$1:$K$61,$U30)=0,"нет подробнее EN; ",IF(OR(INDEX(Тексты!$K$1:$K$61,$U30)&lt;1,INDEX(Тексты!$K$1:$K$61,$U30)&gt;250),"подробнее EN "&amp;INDEX(Тексты!$K$1:$K$61,$U30)&amp;" сл. (нужно 1–250); ",""))&amp;IF(INDEX(Тексты!$M$1:$M$61,$U30)=0,"нет подробнее PT; ",IF(OR(INDEX(Тексты!$M$1:$M$61,$U30)&lt;1,INDEX(Тексты!$M$1:$M$61,$U30)&gt;250),"подробнее PT "&amp;INDEX(Тексты!$M$1:$M$61,$U30)&amp;" сл. (нужно 1–250); ",""))&amp;IF(INDEX(Тексты!$S$1:$S$61,$U30)=0,"нет подробнее RU; ",IF(OR(INDEX(Тексты!$S$1:$S$61,$U30)&lt;1,INDEX(Тексты!$S$1:$S$61,$U30)&gt;250),"подробнее RU "&amp;INDEX(Тексты!$S$1:$S$61,$U30)&amp;" сл. (нужно 1–250); ","")))&amp;IF($V30=0,"нет строки в «Места»; ",IF(OR(INDEX(Места!$B$1:$B$61,$V30)="",INDEX(Места!$C$1:$C$61,$V30)="",INDEX(Места!$Q$1:$Q$61,$V30)=""),"нет названия EN/PT/RU; ","")&amp;IF(OR(INDEX(Места!$D$1:$D$61,$V30)="",INDEX(Места!$E$1:$E$61,$V30)="",INDEX(Места!$R$1:$R$61,$V30)=""),"нет slug EN/PT/RU; ","")&amp;IF(INDEX(Места!$K$1:$K$61,$V30)="","нет моста в сегодня; ","")&amp;IF(OR(INDEX(Места!$O$1:$O$61,$V30)="",INDEX(Места!$O$1:$O$61,$V30)="TODO"),"нет сайта моста; ","")&amp;IF(INDEX(Места!$P$1:$P$61,$V30)&lt;&gt;"да","координаты не проверены; ",""))&amp;IF(AND($L30="готово",OR($R30="",$S30="")),"нет рецензента/даты; ",""))</f>
        <v/>
      </c>
    </row>
    <row r="31" spans="1:23" ht="15" customHeight="1" x14ac:dyDescent="0.25">
      <c r="A31" s="12"/>
      <c r="B31" s="12"/>
      <c r="C31" s="19"/>
      <c r="D31" s="19"/>
      <c r="E31" s="12"/>
      <c r="F31" s="12"/>
      <c r="G31" s="12"/>
      <c r="H31" s="19"/>
      <c r="I31" s="19"/>
      <c r="J31" s="19"/>
      <c r="K31" s="19"/>
      <c r="L31" s="12"/>
      <c r="M31" s="20" t="str">
        <f>IF($A31="","",COUNTIFS(Источники!$A$2:$A$200,$A31,Источники!$G$2:$G$200,"нашли"))</f>
        <v/>
      </c>
      <c r="N31" s="21" t="str">
        <f t="shared" si="0"/>
        <v/>
      </c>
      <c r="O31" s="12"/>
      <c r="P31" s="12"/>
      <c r="Q31" s="12"/>
      <c r="R31" s="12"/>
      <c r="S31" s="12"/>
      <c r="T31" s="12"/>
      <c r="U31" s="22">
        <f>IF($A31="",0,IFERROR(MATCH($A31,Тексты!$A$1:$A$61,0),0))</f>
        <v>0</v>
      </c>
      <c r="V31" s="22">
        <f>IF($A31="",0,IFERROR(MATCH($A31,Места!$A$1:$A$61,0),0))</f>
        <v>0</v>
      </c>
      <c r="W31" s="22" t="str">
        <f>IF($A31="","",IF(COUNTIF($A$2:$A$61,$A31)&gt;1,"дубль id; ","")&amp;IF($B31="","нет эпохи; ","")&amp;IF($C31="","нет уровня; ","")&amp;IF($D31="","нет года; ","")&amp;IF($F31="","нет нити; ","")&amp;IF($H31="","нет важности; ","")&amp;IF($I31="","нет метки; ","")&amp;IF($J31="","нет возраста; ","")&amp;IF($K31="","не указана тяжёлая тема; ","")&amp;IF($M31&lt;IF($C31="frame",2,1),"источников "&amp;$M31&amp;" из "&amp;IF($C31="frame",2,1)&amp;"; ","")&amp;IF($U31=0,"нет строки в «Тексты»; ",IF(INDEX(Тексты!$C$1:$C$61,$U31)=0,"нет крючок EN; ",IF(OR(INDEX(Тексты!$C$1:$C$61,$U31)&lt;1,INDEX(Тексты!$C$1:$C$61,$U31)&gt;12),"крючок EN "&amp;INDEX(Тексты!$C$1:$C$61,$U31)&amp;" сл. (нужно 1–12); ",""))&amp;IF(INDEX(Тексты!$E$1:$E$61,$U31)=0,"нет крючок PT; ",IF(OR(INDEX(Тексты!$E$1:$E$61,$U31)&lt;1,INDEX(Тексты!$E$1:$E$61,$U31)&gt;12),"крючок PT "&amp;INDEX(Тексты!$E$1:$E$61,$U31)&amp;" сл. (нужно 1–12); ",""))&amp;IF(INDEX(Тексты!$O$1:$O$61,$U31)=0,"нет крючок RU; ",IF(OR(INDEX(Тексты!$O$1:$O$61,$U31)&lt;1,INDEX(Тексты!$O$1:$O$61,$U31)&gt;12),"крючок RU "&amp;INDEX(Тексты!$O$1:$O$61,$U31)&amp;" сл. (нужно 1–12); ",""))&amp;IF(INDEX(Тексты!$G$1:$G$61,$U31)=0,"нет история EN; ",IF(OR(INDEX(Тексты!$G$1:$G$61,$U31)&lt;40,INDEX(Тексты!$G$1:$G$61,$U31)&gt;90),"история EN "&amp;INDEX(Тексты!$G$1:$G$61,$U31)&amp;" сл. (нужно 40–90); ",""))&amp;IF(INDEX(Тексты!$I$1:$I$61,$U31)=0,"нет история PT; ",IF(OR(INDEX(Тексты!$I$1:$I$61,$U31)&lt;40,INDEX(Тексты!$I$1:$I$61,$U31)&gt;90),"история PT "&amp;INDEX(Тексты!$I$1:$I$61,$U31)&amp;" сл. (нужно 40–90); ",""))&amp;IF(INDEX(Тексты!$Q$1:$Q$61,$U31)=0,"нет история RU; ",IF(OR(INDEX(Тексты!$Q$1:$Q$61,$U31)&lt;40,INDEX(Тексты!$Q$1:$Q$61,$U31)&gt;90),"история RU "&amp;INDEX(Тексты!$Q$1:$Q$61,$U31)&amp;" сл. (нужно 40–90); ",""))&amp;IF(INDEX(Тексты!$K$1:$K$61,$U31)=0,"нет подробнее EN; ",IF(OR(INDEX(Тексты!$K$1:$K$61,$U31)&lt;1,INDEX(Тексты!$K$1:$K$61,$U31)&gt;250),"подробнее EN "&amp;INDEX(Тексты!$K$1:$K$61,$U31)&amp;" сл. (нужно 1–250); ",""))&amp;IF(INDEX(Тексты!$M$1:$M$61,$U31)=0,"нет подробнее PT; ",IF(OR(INDEX(Тексты!$M$1:$M$61,$U31)&lt;1,INDEX(Тексты!$M$1:$M$61,$U31)&gt;250),"подробнее PT "&amp;INDEX(Тексты!$M$1:$M$61,$U31)&amp;" сл. (нужно 1–250); ",""))&amp;IF(INDEX(Тексты!$S$1:$S$61,$U31)=0,"нет подробнее RU; ",IF(OR(INDEX(Тексты!$S$1:$S$61,$U31)&lt;1,INDEX(Тексты!$S$1:$S$61,$U31)&gt;250),"подробнее RU "&amp;INDEX(Тексты!$S$1:$S$61,$U31)&amp;" сл. (нужно 1–250); ","")))&amp;IF($V31=0,"нет строки в «Места»; ",IF(OR(INDEX(Места!$B$1:$B$61,$V31)="",INDEX(Места!$C$1:$C$61,$V31)="",INDEX(Места!$Q$1:$Q$61,$V31)=""),"нет названия EN/PT/RU; ","")&amp;IF(OR(INDEX(Места!$D$1:$D$61,$V31)="",INDEX(Места!$E$1:$E$61,$V31)="",INDEX(Места!$R$1:$R$61,$V31)=""),"нет slug EN/PT/RU; ","")&amp;IF(INDEX(Места!$K$1:$K$61,$V31)="","нет моста в сегодня; ","")&amp;IF(OR(INDEX(Места!$O$1:$O$61,$V31)="",INDEX(Места!$O$1:$O$61,$V31)="TODO"),"нет сайта моста; ","")&amp;IF(INDEX(Места!$P$1:$P$61,$V31)&lt;&gt;"да","координаты не проверены; ",""))&amp;IF(AND($L31="готово",OR($R31="",$S31="")),"нет рецензента/даты; ",""))</f>
        <v/>
      </c>
    </row>
    <row r="32" spans="1:23" ht="15" customHeight="1" x14ac:dyDescent="0.25">
      <c r="A32" s="12"/>
      <c r="B32" s="12"/>
      <c r="C32" s="19"/>
      <c r="D32" s="19"/>
      <c r="E32" s="12"/>
      <c r="F32" s="12"/>
      <c r="G32" s="12"/>
      <c r="H32" s="19"/>
      <c r="I32" s="19"/>
      <c r="J32" s="19"/>
      <c r="K32" s="19"/>
      <c r="L32" s="12"/>
      <c r="M32" s="20" t="str">
        <f>IF($A32="","",COUNTIFS(Источники!$A$2:$A$200,$A32,Источники!$G$2:$G$200,"нашли"))</f>
        <v/>
      </c>
      <c r="N32" s="21" t="str">
        <f t="shared" si="0"/>
        <v/>
      </c>
      <c r="O32" s="12"/>
      <c r="P32" s="12"/>
      <c r="Q32" s="12"/>
      <c r="R32" s="12"/>
      <c r="S32" s="12"/>
      <c r="T32" s="12"/>
      <c r="U32" s="22">
        <f>IF($A32="",0,IFERROR(MATCH($A32,Тексты!$A$1:$A$61,0),0))</f>
        <v>0</v>
      </c>
      <c r="V32" s="22">
        <f>IF($A32="",0,IFERROR(MATCH($A32,Места!$A$1:$A$61,0),0))</f>
        <v>0</v>
      </c>
      <c r="W32" s="22" t="str">
        <f>IF($A32="","",IF(COUNTIF($A$2:$A$61,$A32)&gt;1,"дубль id; ","")&amp;IF($B32="","нет эпохи; ","")&amp;IF($C32="","нет уровня; ","")&amp;IF($D32="","нет года; ","")&amp;IF($F32="","нет нити; ","")&amp;IF($H32="","нет важности; ","")&amp;IF($I32="","нет метки; ","")&amp;IF($J32="","нет возраста; ","")&amp;IF($K32="","не указана тяжёлая тема; ","")&amp;IF($M32&lt;IF($C32="frame",2,1),"источников "&amp;$M32&amp;" из "&amp;IF($C32="frame",2,1)&amp;"; ","")&amp;IF($U32=0,"нет строки в «Тексты»; ",IF(INDEX(Тексты!$C$1:$C$61,$U32)=0,"нет крючок EN; ",IF(OR(INDEX(Тексты!$C$1:$C$61,$U32)&lt;1,INDEX(Тексты!$C$1:$C$61,$U32)&gt;12),"крючок EN "&amp;INDEX(Тексты!$C$1:$C$61,$U32)&amp;" сл. (нужно 1–12); ",""))&amp;IF(INDEX(Тексты!$E$1:$E$61,$U32)=0,"нет крючок PT; ",IF(OR(INDEX(Тексты!$E$1:$E$61,$U32)&lt;1,INDEX(Тексты!$E$1:$E$61,$U32)&gt;12),"крючок PT "&amp;INDEX(Тексты!$E$1:$E$61,$U32)&amp;" сл. (нужно 1–12); ",""))&amp;IF(INDEX(Тексты!$O$1:$O$61,$U32)=0,"нет крючок RU; ",IF(OR(INDEX(Тексты!$O$1:$O$61,$U32)&lt;1,INDEX(Тексты!$O$1:$O$61,$U32)&gt;12),"крючок RU "&amp;INDEX(Тексты!$O$1:$O$61,$U32)&amp;" сл. (нужно 1–12); ",""))&amp;IF(INDEX(Тексты!$G$1:$G$61,$U32)=0,"нет история EN; ",IF(OR(INDEX(Тексты!$G$1:$G$61,$U32)&lt;40,INDEX(Тексты!$G$1:$G$61,$U32)&gt;90),"история EN "&amp;INDEX(Тексты!$G$1:$G$61,$U32)&amp;" сл. (нужно 40–90); ",""))&amp;IF(INDEX(Тексты!$I$1:$I$61,$U32)=0,"нет история PT; ",IF(OR(INDEX(Тексты!$I$1:$I$61,$U32)&lt;40,INDEX(Тексты!$I$1:$I$61,$U32)&gt;90),"история PT "&amp;INDEX(Тексты!$I$1:$I$61,$U32)&amp;" сл. (нужно 40–90); ",""))&amp;IF(INDEX(Тексты!$Q$1:$Q$61,$U32)=0,"нет история RU; ",IF(OR(INDEX(Тексты!$Q$1:$Q$61,$U32)&lt;40,INDEX(Тексты!$Q$1:$Q$61,$U32)&gt;90),"история RU "&amp;INDEX(Тексты!$Q$1:$Q$61,$U32)&amp;" сл. (нужно 40–90); ",""))&amp;IF(INDEX(Тексты!$K$1:$K$61,$U32)=0,"нет подробнее EN; ",IF(OR(INDEX(Тексты!$K$1:$K$61,$U32)&lt;1,INDEX(Тексты!$K$1:$K$61,$U32)&gt;250),"подробнее EN "&amp;INDEX(Тексты!$K$1:$K$61,$U32)&amp;" сл. (нужно 1–250); ",""))&amp;IF(INDEX(Тексты!$M$1:$M$61,$U32)=0,"нет подробнее PT; ",IF(OR(INDEX(Тексты!$M$1:$M$61,$U32)&lt;1,INDEX(Тексты!$M$1:$M$61,$U32)&gt;250),"подробнее PT "&amp;INDEX(Тексты!$M$1:$M$61,$U32)&amp;" сл. (нужно 1–250); ",""))&amp;IF(INDEX(Тексты!$S$1:$S$61,$U32)=0,"нет подробнее RU; ",IF(OR(INDEX(Тексты!$S$1:$S$61,$U32)&lt;1,INDEX(Тексты!$S$1:$S$61,$U32)&gt;250),"подробнее RU "&amp;INDEX(Тексты!$S$1:$S$61,$U32)&amp;" сл. (нужно 1–250); ","")))&amp;IF($V32=0,"нет строки в «Места»; ",IF(OR(INDEX(Места!$B$1:$B$61,$V32)="",INDEX(Места!$C$1:$C$61,$V32)="",INDEX(Места!$Q$1:$Q$61,$V32)=""),"нет названия EN/PT/RU; ","")&amp;IF(OR(INDEX(Места!$D$1:$D$61,$V32)="",INDEX(Места!$E$1:$E$61,$V32)="",INDEX(Места!$R$1:$R$61,$V32)=""),"нет slug EN/PT/RU; ","")&amp;IF(INDEX(Места!$K$1:$K$61,$V32)="","нет моста в сегодня; ","")&amp;IF(OR(INDEX(Места!$O$1:$O$61,$V32)="",INDEX(Места!$O$1:$O$61,$V32)="TODO"),"нет сайта моста; ","")&amp;IF(INDEX(Места!$P$1:$P$61,$V32)&lt;&gt;"да","координаты не проверены; ",""))&amp;IF(AND($L32="готово",OR($R32="",$S32="")),"нет рецензента/даты; ",""))</f>
        <v/>
      </c>
    </row>
    <row r="33" spans="1:23" ht="15" customHeight="1" x14ac:dyDescent="0.25">
      <c r="A33" s="12"/>
      <c r="B33" s="12"/>
      <c r="C33" s="19"/>
      <c r="D33" s="19"/>
      <c r="E33" s="12"/>
      <c r="F33" s="12"/>
      <c r="G33" s="12"/>
      <c r="H33" s="19"/>
      <c r="I33" s="19"/>
      <c r="J33" s="19"/>
      <c r="K33" s="19"/>
      <c r="L33" s="12"/>
      <c r="M33" s="20" t="str">
        <f>IF($A33="","",COUNTIFS(Источники!$A$2:$A$200,$A33,Источники!$G$2:$G$200,"нашли"))</f>
        <v/>
      </c>
      <c r="N33" s="21" t="str">
        <f t="shared" si="0"/>
        <v/>
      </c>
      <c r="O33" s="12"/>
      <c r="P33" s="12"/>
      <c r="Q33" s="12"/>
      <c r="R33" s="12"/>
      <c r="S33" s="12"/>
      <c r="T33" s="12"/>
      <c r="U33" s="22">
        <f>IF($A33="",0,IFERROR(MATCH($A33,Тексты!$A$1:$A$61,0),0))</f>
        <v>0</v>
      </c>
      <c r="V33" s="22">
        <f>IF($A33="",0,IFERROR(MATCH($A33,Места!$A$1:$A$61,0),0))</f>
        <v>0</v>
      </c>
      <c r="W33" s="22" t="str">
        <f>IF($A33="","",IF(COUNTIF($A$2:$A$61,$A33)&gt;1,"дубль id; ","")&amp;IF($B33="","нет эпохи; ","")&amp;IF($C33="","нет уровня; ","")&amp;IF($D33="","нет года; ","")&amp;IF($F33="","нет нити; ","")&amp;IF($H33="","нет важности; ","")&amp;IF($I33="","нет метки; ","")&amp;IF($J33="","нет возраста; ","")&amp;IF($K33="","не указана тяжёлая тема; ","")&amp;IF($M33&lt;IF($C33="frame",2,1),"источников "&amp;$M33&amp;" из "&amp;IF($C33="frame",2,1)&amp;"; ","")&amp;IF($U33=0,"нет строки в «Тексты»; ",IF(INDEX(Тексты!$C$1:$C$61,$U33)=0,"нет крючок EN; ",IF(OR(INDEX(Тексты!$C$1:$C$61,$U33)&lt;1,INDEX(Тексты!$C$1:$C$61,$U33)&gt;12),"крючок EN "&amp;INDEX(Тексты!$C$1:$C$61,$U33)&amp;" сл. (нужно 1–12); ",""))&amp;IF(INDEX(Тексты!$E$1:$E$61,$U33)=0,"нет крючок PT; ",IF(OR(INDEX(Тексты!$E$1:$E$61,$U33)&lt;1,INDEX(Тексты!$E$1:$E$61,$U33)&gt;12),"крючок PT "&amp;INDEX(Тексты!$E$1:$E$61,$U33)&amp;" сл. (нужно 1–12); ",""))&amp;IF(INDEX(Тексты!$O$1:$O$61,$U33)=0,"нет крючок RU; ",IF(OR(INDEX(Тексты!$O$1:$O$61,$U33)&lt;1,INDEX(Тексты!$O$1:$O$61,$U33)&gt;12),"крючок RU "&amp;INDEX(Тексты!$O$1:$O$61,$U33)&amp;" сл. (нужно 1–12); ",""))&amp;IF(INDEX(Тексты!$G$1:$G$61,$U33)=0,"нет история EN; ",IF(OR(INDEX(Тексты!$G$1:$G$61,$U33)&lt;40,INDEX(Тексты!$G$1:$G$61,$U33)&gt;90),"история EN "&amp;INDEX(Тексты!$G$1:$G$61,$U33)&amp;" сл. (нужно 40–90); ",""))&amp;IF(INDEX(Тексты!$I$1:$I$61,$U33)=0,"нет история PT; ",IF(OR(INDEX(Тексты!$I$1:$I$61,$U33)&lt;40,INDEX(Тексты!$I$1:$I$61,$U33)&gt;90),"история PT "&amp;INDEX(Тексты!$I$1:$I$61,$U33)&amp;" сл. (нужно 40–90); ",""))&amp;IF(INDEX(Тексты!$Q$1:$Q$61,$U33)=0,"нет история RU; ",IF(OR(INDEX(Тексты!$Q$1:$Q$61,$U33)&lt;40,INDEX(Тексты!$Q$1:$Q$61,$U33)&gt;90),"история RU "&amp;INDEX(Тексты!$Q$1:$Q$61,$U33)&amp;" сл. (нужно 40–90); ",""))&amp;IF(INDEX(Тексты!$K$1:$K$61,$U33)=0,"нет подробнее EN; ",IF(OR(INDEX(Тексты!$K$1:$K$61,$U33)&lt;1,INDEX(Тексты!$K$1:$K$61,$U33)&gt;250),"подробнее EN "&amp;INDEX(Тексты!$K$1:$K$61,$U33)&amp;" сл. (нужно 1–250); ",""))&amp;IF(INDEX(Тексты!$M$1:$M$61,$U33)=0,"нет подробнее PT; ",IF(OR(INDEX(Тексты!$M$1:$M$61,$U33)&lt;1,INDEX(Тексты!$M$1:$M$61,$U33)&gt;250),"подробнее PT "&amp;INDEX(Тексты!$M$1:$M$61,$U33)&amp;" сл. (нужно 1–250); ",""))&amp;IF(INDEX(Тексты!$S$1:$S$61,$U33)=0,"нет подробнее RU; ",IF(OR(INDEX(Тексты!$S$1:$S$61,$U33)&lt;1,INDEX(Тексты!$S$1:$S$61,$U33)&gt;250),"подробнее RU "&amp;INDEX(Тексты!$S$1:$S$61,$U33)&amp;" сл. (нужно 1–250); ","")))&amp;IF($V33=0,"нет строки в «Места»; ",IF(OR(INDEX(Места!$B$1:$B$61,$V33)="",INDEX(Места!$C$1:$C$61,$V33)="",INDEX(Места!$Q$1:$Q$61,$V33)=""),"нет названия EN/PT/RU; ","")&amp;IF(OR(INDEX(Места!$D$1:$D$61,$V33)="",INDEX(Места!$E$1:$E$61,$V33)="",INDEX(Места!$R$1:$R$61,$V33)=""),"нет slug EN/PT/RU; ","")&amp;IF(INDEX(Места!$K$1:$K$61,$V33)="","нет моста в сегодня; ","")&amp;IF(OR(INDEX(Места!$O$1:$O$61,$V33)="",INDEX(Места!$O$1:$O$61,$V33)="TODO"),"нет сайта моста; ","")&amp;IF(INDEX(Места!$P$1:$P$61,$V33)&lt;&gt;"да","координаты не проверены; ",""))&amp;IF(AND($L33="готово",OR($R33="",$S33="")),"нет рецензента/даты; ",""))</f>
        <v/>
      </c>
    </row>
    <row r="34" spans="1:23" ht="15" customHeight="1" x14ac:dyDescent="0.25">
      <c r="A34" s="12"/>
      <c r="B34" s="12"/>
      <c r="C34" s="19"/>
      <c r="D34" s="19"/>
      <c r="E34" s="12"/>
      <c r="F34" s="12"/>
      <c r="G34" s="12"/>
      <c r="H34" s="19"/>
      <c r="I34" s="19"/>
      <c r="J34" s="19"/>
      <c r="K34" s="19"/>
      <c r="L34" s="12"/>
      <c r="M34" s="20" t="str">
        <f>IF($A34="","",COUNTIFS(Источники!$A$2:$A$200,$A34,Источники!$G$2:$G$200,"нашли"))</f>
        <v/>
      </c>
      <c r="N34" s="21" t="str">
        <f t="shared" ref="N34:N61" si="1">IF($A34="","",IF($W34="","OK",$W34))</f>
        <v/>
      </c>
      <c r="O34" s="12"/>
      <c r="P34" s="12"/>
      <c r="Q34" s="12"/>
      <c r="R34" s="12"/>
      <c r="S34" s="12"/>
      <c r="T34" s="12"/>
      <c r="U34" s="22">
        <f>IF($A34="",0,IFERROR(MATCH($A34,Тексты!$A$1:$A$61,0),0))</f>
        <v>0</v>
      </c>
      <c r="V34" s="22">
        <f>IF($A34="",0,IFERROR(MATCH($A34,Места!$A$1:$A$61,0),0))</f>
        <v>0</v>
      </c>
      <c r="W34" s="22" t="str">
        <f>IF($A34="","",IF(COUNTIF($A$2:$A$61,$A34)&gt;1,"дубль id; ","")&amp;IF($B34="","нет эпохи; ","")&amp;IF($C34="","нет уровня; ","")&amp;IF($D34="","нет года; ","")&amp;IF($F34="","нет нити; ","")&amp;IF($H34="","нет важности; ","")&amp;IF($I34="","нет метки; ","")&amp;IF($J34="","нет возраста; ","")&amp;IF($K34="","не указана тяжёлая тема; ","")&amp;IF($M34&lt;IF($C34="frame",2,1),"источников "&amp;$M34&amp;" из "&amp;IF($C34="frame",2,1)&amp;"; ","")&amp;IF($U34=0,"нет строки в «Тексты»; ",IF(INDEX(Тексты!$C$1:$C$61,$U34)=0,"нет крючок EN; ",IF(OR(INDEX(Тексты!$C$1:$C$61,$U34)&lt;1,INDEX(Тексты!$C$1:$C$61,$U34)&gt;12),"крючок EN "&amp;INDEX(Тексты!$C$1:$C$61,$U34)&amp;" сл. (нужно 1–12); ",""))&amp;IF(INDEX(Тексты!$E$1:$E$61,$U34)=0,"нет крючок PT; ",IF(OR(INDEX(Тексты!$E$1:$E$61,$U34)&lt;1,INDEX(Тексты!$E$1:$E$61,$U34)&gt;12),"крючок PT "&amp;INDEX(Тексты!$E$1:$E$61,$U34)&amp;" сл. (нужно 1–12); ",""))&amp;IF(INDEX(Тексты!$O$1:$O$61,$U34)=0,"нет крючок RU; ",IF(OR(INDEX(Тексты!$O$1:$O$61,$U34)&lt;1,INDEX(Тексты!$O$1:$O$61,$U34)&gt;12),"крючок RU "&amp;INDEX(Тексты!$O$1:$O$61,$U34)&amp;" сл. (нужно 1–12); ",""))&amp;IF(INDEX(Тексты!$G$1:$G$61,$U34)=0,"нет история EN; ",IF(OR(INDEX(Тексты!$G$1:$G$61,$U34)&lt;40,INDEX(Тексты!$G$1:$G$61,$U34)&gt;90),"история EN "&amp;INDEX(Тексты!$G$1:$G$61,$U34)&amp;" сл. (нужно 40–90); ",""))&amp;IF(INDEX(Тексты!$I$1:$I$61,$U34)=0,"нет история PT; ",IF(OR(INDEX(Тексты!$I$1:$I$61,$U34)&lt;40,INDEX(Тексты!$I$1:$I$61,$U34)&gt;90),"история PT "&amp;INDEX(Тексты!$I$1:$I$61,$U34)&amp;" сл. (нужно 40–90); ",""))&amp;IF(INDEX(Тексты!$Q$1:$Q$61,$U34)=0,"нет история RU; ",IF(OR(INDEX(Тексты!$Q$1:$Q$61,$U34)&lt;40,INDEX(Тексты!$Q$1:$Q$61,$U34)&gt;90),"история RU "&amp;INDEX(Тексты!$Q$1:$Q$61,$U34)&amp;" сл. (нужно 40–90); ",""))&amp;IF(INDEX(Тексты!$K$1:$K$61,$U34)=0,"нет подробнее EN; ",IF(OR(INDEX(Тексты!$K$1:$K$61,$U34)&lt;1,INDEX(Тексты!$K$1:$K$61,$U34)&gt;250),"подробнее EN "&amp;INDEX(Тексты!$K$1:$K$61,$U34)&amp;" сл. (нужно 1–250); ",""))&amp;IF(INDEX(Тексты!$M$1:$M$61,$U34)=0,"нет подробнее PT; ",IF(OR(INDEX(Тексты!$M$1:$M$61,$U34)&lt;1,INDEX(Тексты!$M$1:$M$61,$U34)&gt;250),"подробнее PT "&amp;INDEX(Тексты!$M$1:$M$61,$U34)&amp;" сл. (нужно 1–250); ",""))&amp;IF(INDEX(Тексты!$S$1:$S$61,$U34)=0,"нет подробнее RU; ",IF(OR(INDEX(Тексты!$S$1:$S$61,$U34)&lt;1,INDEX(Тексты!$S$1:$S$61,$U34)&gt;250),"подробнее RU "&amp;INDEX(Тексты!$S$1:$S$61,$U34)&amp;" сл. (нужно 1–250); ","")))&amp;IF($V34=0,"нет строки в «Места»; ",IF(OR(INDEX(Места!$B$1:$B$61,$V34)="",INDEX(Места!$C$1:$C$61,$V34)="",INDEX(Места!$Q$1:$Q$61,$V34)=""),"нет названия EN/PT/RU; ","")&amp;IF(OR(INDEX(Места!$D$1:$D$61,$V34)="",INDEX(Места!$E$1:$E$61,$V34)="",INDEX(Места!$R$1:$R$61,$V34)=""),"нет slug EN/PT/RU; ","")&amp;IF(INDEX(Места!$K$1:$K$61,$V34)="","нет моста в сегодня; ","")&amp;IF(OR(INDEX(Места!$O$1:$O$61,$V34)="",INDEX(Места!$O$1:$O$61,$V34)="TODO"),"нет сайта моста; ","")&amp;IF(INDEX(Места!$P$1:$P$61,$V34)&lt;&gt;"да","координаты не проверены; ",""))&amp;IF(AND($L34="готово",OR($R34="",$S34="")),"нет рецензента/даты; ",""))</f>
        <v/>
      </c>
    </row>
    <row r="35" spans="1:23" ht="15" customHeight="1" x14ac:dyDescent="0.25">
      <c r="A35" s="12"/>
      <c r="B35" s="12"/>
      <c r="C35" s="19"/>
      <c r="D35" s="19"/>
      <c r="E35" s="12"/>
      <c r="F35" s="12"/>
      <c r="G35" s="12"/>
      <c r="H35" s="19"/>
      <c r="I35" s="19"/>
      <c r="J35" s="19"/>
      <c r="K35" s="19"/>
      <c r="L35" s="12"/>
      <c r="M35" s="20" t="str">
        <f>IF($A35="","",COUNTIFS(Источники!$A$2:$A$200,$A35,Источники!$G$2:$G$200,"нашли"))</f>
        <v/>
      </c>
      <c r="N35" s="21" t="str">
        <f t="shared" si="1"/>
        <v/>
      </c>
      <c r="O35" s="12"/>
      <c r="P35" s="12"/>
      <c r="Q35" s="12"/>
      <c r="R35" s="12"/>
      <c r="S35" s="12"/>
      <c r="T35" s="12"/>
      <c r="U35" s="22">
        <f>IF($A35="",0,IFERROR(MATCH($A35,Тексты!$A$1:$A$61,0),0))</f>
        <v>0</v>
      </c>
      <c r="V35" s="22">
        <f>IF($A35="",0,IFERROR(MATCH($A35,Места!$A$1:$A$61,0),0))</f>
        <v>0</v>
      </c>
      <c r="W35" s="22" t="str">
        <f>IF($A35="","",IF(COUNTIF($A$2:$A$61,$A35)&gt;1,"дубль id; ","")&amp;IF($B35="","нет эпохи; ","")&amp;IF($C35="","нет уровня; ","")&amp;IF($D35="","нет года; ","")&amp;IF($F35="","нет нити; ","")&amp;IF($H35="","нет важности; ","")&amp;IF($I35="","нет метки; ","")&amp;IF($J35="","нет возраста; ","")&amp;IF($K35="","не указана тяжёлая тема; ","")&amp;IF($M35&lt;IF($C35="frame",2,1),"источников "&amp;$M35&amp;" из "&amp;IF($C35="frame",2,1)&amp;"; ","")&amp;IF($U35=0,"нет строки в «Тексты»; ",IF(INDEX(Тексты!$C$1:$C$61,$U35)=0,"нет крючок EN; ",IF(OR(INDEX(Тексты!$C$1:$C$61,$U35)&lt;1,INDEX(Тексты!$C$1:$C$61,$U35)&gt;12),"крючок EN "&amp;INDEX(Тексты!$C$1:$C$61,$U35)&amp;" сл. (нужно 1–12); ",""))&amp;IF(INDEX(Тексты!$E$1:$E$61,$U35)=0,"нет крючок PT; ",IF(OR(INDEX(Тексты!$E$1:$E$61,$U35)&lt;1,INDEX(Тексты!$E$1:$E$61,$U35)&gt;12),"крючок PT "&amp;INDEX(Тексты!$E$1:$E$61,$U35)&amp;" сл. (нужно 1–12); ",""))&amp;IF(INDEX(Тексты!$O$1:$O$61,$U35)=0,"нет крючок RU; ",IF(OR(INDEX(Тексты!$O$1:$O$61,$U35)&lt;1,INDEX(Тексты!$O$1:$O$61,$U35)&gt;12),"крючок RU "&amp;INDEX(Тексты!$O$1:$O$61,$U35)&amp;" сл. (нужно 1–12); ",""))&amp;IF(INDEX(Тексты!$G$1:$G$61,$U35)=0,"нет история EN; ",IF(OR(INDEX(Тексты!$G$1:$G$61,$U35)&lt;40,INDEX(Тексты!$G$1:$G$61,$U35)&gt;90),"история EN "&amp;INDEX(Тексты!$G$1:$G$61,$U35)&amp;" сл. (нужно 40–90); ",""))&amp;IF(INDEX(Тексты!$I$1:$I$61,$U35)=0,"нет история PT; ",IF(OR(INDEX(Тексты!$I$1:$I$61,$U35)&lt;40,INDEX(Тексты!$I$1:$I$61,$U35)&gt;90),"история PT "&amp;INDEX(Тексты!$I$1:$I$61,$U35)&amp;" сл. (нужно 40–90); ",""))&amp;IF(INDEX(Тексты!$Q$1:$Q$61,$U35)=0,"нет история RU; ",IF(OR(INDEX(Тексты!$Q$1:$Q$61,$U35)&lt;40,INDEX(Тексты!$Q$1:$Q$61,$U35)&gt;90),"история RU "&amp;INDEX(Тексты!$Q$1:$Q$61,$U35)&amp;" сл. (нужно 40–90); ",""))&amp;IF(INDEX(Тексты!$K$1:$K$61,$U35)=0,"нет подробнее EN; ",IF(OR(INDEX(Тексты!$K$1:$K$61,$U35)&lt;1,INDEX(Тексты!$K$1:$K$61,$U35)&gt;250),"подробнее EN "&amp;INDEX(Тексты!$K$1:$K$61,$U35)&amp;" сл. (нужно 1–250); ",""))&amp;IF(INDEX(Тексты!$M$1:$M$61,$U35)=0,"нет подробнее PT; ",IF(OR(INDEX(Тексты!$M$1:$M$61,$U35)&lt;1,INDEX(Тексты!$M$1:$M$61,$U35)&gt;250),"подробнее PT "&amp;INDEX(Тексты!$M$1:$M$61,$U35)&amp;" сл. (нужно 1–250); ",""))&amp;IF(INDEX(Тексты!$S$1:$S$61,$U35)=0,"нет подробнее RU; ",IF(OR(INDEX(Тексты!$S$1:$S$61,$U35)&lt;1,INDEX(Тексты!$S$1:$S$61,$U35)&gt;250),"подробнее RU "&amp;INDEX(Тексты!$S$1:$S$61,$U35)&amp;" сл. (нужно 1–250); ","")))&amp;IF($V35=0,"нет строки в «Места»; ",IF(OR(INDEX(Места!$B$1:$B$61,$V35)="",INDEX(Места!$C$1:$C$61,$V35)="",INDEX(Места!$Q$1:$Q$61,$V35)=""),"нет названия EN/PT/RU; ","")&amp;IF(OR(INDEX(Места!$D$1:$D$61,$V35)="",INDEX(Места!$E$1:$E$61,$V35)="",INDEX(Места!$R$1:$R$61,$V35)=""),"нет slug EN/PT/RU; ","")&amp;IF(INDEX(Места!$K$1:$K$61,$V35)="","нет моста в сегодня; ","")&amp;IF(OR(INDEX(Места!$O$1:$O$61,$V35)="",INDEX(Места!$O$1:$O$61,$V35)="TODO"),"нет сайта моста; ","")&amp;IF(INDEX(Места!$P$1:$P$61,$V35)&lt;&gt;"да","координаты не проверены; ",""))&amp;IF(AND($L35="готово",OR($R35="",$S35="")),"нет рецензента/даты; ",""))</f>
        <v/>
      </c>
    </row>
    <row r="36" spans="1:23" ht="15" customHeight="1" x14ac:dyDescent="0.25">
      <c r="A36" s="12"/>
      <c r="B36" s="12"/>
      <c r="C36" s="19"/>
      <c r="D36" s="19"/>
      <c r="E36" s="12"/>
      <c r="F36" s="12"/>
      <c r="G36" s="12"/>
      <c r="H36" s="19"/>
      <c r="I36" s="19"/>
      <c r="J36" s="19"/>
      <c r="K36" s="19"/>
      <c r="L36" s="12"/>
      <c r="M36" s="20" t="str">
        <f>IF($A36="","",COUNTIFS(Источники!$A$2:$A$200,$A36,Источники!$G$2:$G$200,"нашли"))</f>
        <v/>
      </c>
      <c r="N36" s="21" t="str">
        <f t="shared" si="1"/>
        <v/>
      </c>
      <c r="O36" s="12"/>
      <c r="P36" s="12"/>
      <c r="Q36" s="12"/>
      <c r="R36" s="12"/>
      <c r="S36" s="12"/>
      <c r="T36" s="12"/>
      <c r="U36" s="22">
        <f>IF($A36="",0,IFERROR(MATCH($A36,Тексты!$A$1:$A$61,0),0))</f>
        <v>0</v>
      </c>
      <c r="V36" s="22">
        <f>IF($A36="",0,IFERROR(MATCH($A36,Места!$A$1:$A$61,0),0))</f>
        <v>0</v>
      </c>
      <c r="W36" s="22" t="str">
        <f>IF($A36="","",IF(COUNTIF($A$2:$A$61,$A36)&gt;1,"дубль id; ","")&amp;IF($B36="","нет эпохи; ","")&amp;IF($C36="","нет уровня; ","")&amp;IF($D36="","нет года; ","")&amp;IF($F36="","нет нити; ","")&amp;IF($H36="","нет важности; ","")&amp;IF($I36="","нет метки; ","")&amp;IF($J36="","нет возраста; ","")&amp;IF($K36="","не указана тяжёлая тема; ","")&amp;IF($M36&lt;IF($C36="frame",2,1),"источников "&amp;$M36&amp;" из "&amp;IF($C36="frame",2,1)&amp;"; ","")&amp;IF($U36=0,"нет строки в «Тексты»; ",IF(INDEX(Тексты!$C$1:$C$61,$U36)=0,"нет крючок EN; ",IF(OR(INDEX(Тексты!$C$1:$C$61,$U36)&lt;1,INDEX(Тексты!$C$1:$C$61,$U36)&gt;12),"крючок EN "&amp;INDEX(Тексты!$C$1:$C$61,$U36)&amp;" сл. (нужно 1–12); ",""))&amp;IF(INDEX(Тексты!$E$1:$E$61,$U36)=0,"нет крючок PT; ",IF(OR(INDEX(Тексты!$E$1:$E$61,$U36)&lt;1,INDEX(Тексты!$E$1:$E$61,$U36)&gt;12),"крючок PT "&amp;INDEX(Тексты!$E$1:$E$61,$U36)&amp;" сл. (нужно 1–12); ",""))&amp;IF(INDEX(Тексты!$O$1:$O$61,$U36)=0,"нет крючок RU; ",IF(OR(INDEX(Тексты!$O$1:$O$61,$U36)&lt;1,INDEX(Тексты!$O$1:$O$61,$U36)&gt;12),"крючок RU "&amp;INDEX(Тексты!$O$1:$O$61,$U36)&amp;" сл. (нужно 1–12); ",""))&amp;IF(INDEX(Тексты!$G$1:$G$61,$U36)=0,"нет история EN; ",IF(OR(INDEX(Тексты!$G$1:$G$61,$U36)&lt;40,INDEX(Тексты!$G$1:$G$61,$U36)&gt;90),"история EN "&amp;INDEX(Тексты!$G$1:$G$61,$U36)&amp;" сл. (нужно 40–90); ",""))&amp;IF(INDEX(Тексты!$I$1:$I$61,$U36)=0,"нет история PT; ",IF(OR(INDEX(Тексты!$I$1:$I$61,$U36)&lt;40,INDEX(Тексты!$I$1:$I$61,$U36)&gt;90),"история PT "&amp;INDEX(Тексты!$I$1:$I$61,$U36)&amp;" сл. (нужно 40–90); ",""))&amp;IF(INDEX(Тексты!$Q$1:$Q$61,$U36)=0,"нет история RU; ",IF(OR(INDEX(Тексты!$Q$1:$Q$61,$U36)&lt;40,INDEX(Тексты!$Q$1:$Q$61,$U36)&gt;90),"история RU "&amp;INDEX(Тексты!$Q$1:$Q$61,$U36)&amp;" сл. (нужно 40–90); ",""))&amp;IF(INDEX(Тексты!$K$1:$K$61,$U36)=0,"нет подробнее EN; ",IF(OR(INDEX(Тексты!$K$1:$K$61,$U36)&lt;1,INDEX(Тексты!$K$1:$K$61,$U36)&gt;250),"подробнее EN "&amp;INDEX(Тексты!$K$1:$K$61,$U36)&amp;" сл. (нужно 1–250); ",""))&amp;IF(INDEX(Тексты!$M$1:$M$61,$U36)=0,"нет подробнее PT; ",IF(OR(INDEX(Тексты!$M$1:$M$61,$U36)&lt;1,INDEX(Тексты!$M$1:$M$61,$U36)&gt;250),"подробнее PT "&amp;INDEX(Тексты!$M$1:$M$61,$U36)&amp;" сл. (нужно 1–250); ",""))&amp;IF(INDEX(Тексты!$S$1:$S$61,$U36)=0,"нет подробнее RU; ",IF(OR(INDEX(Тексты!$S$1:$S$61,$U36)&lt;1,INDEX(Тексты!$S$1:$S$61,$U36)&gt;250),"подробнее RU "&amp;INDEX(Тексты!$S$1:$S$61,$U36)&amp;" сл. (нужно 1–250); ","")))&amp;IF($V36=0,"нет строки в «Места»; ",IF(OR(INDEX(Места!$B$1:$B$61,$V36)="",INDEX(Места!$C$1:$C$61,$V36)="",INDEX(Места!$Q$1:$Q$61,$V36)=""),"нет названия EN/PT/RU; ","")&amp;IF(OR(INDEX(Места!$D$1:$D$61,$V36)="",INDEX(Места!$E$1:$E$61,$V36)="",INDEX(Места!$R$1:$R$61,$V36)=""),"нет slug EN/PT/RU; ","")&amp;IF(INDEX(Места!$K$1:$K$61,$V36)="","нет моста в сегодня; ","")&amp;IF(OR(INDEX(Места!$O$1:$O$61,$V36)="",INDEX(Места!$O$1:$O$61,$V36)="TODO"),"нет сайта моста; ","")&amp;IF(INDEX(Места!$P$1:$P$61,$V36)&lt;&gt;"да","координаты не проверены; ",""))&amp;IF(AND($L36="готово",OR($R36="",$S36="")),"нет рецензента/даты; ",""))</f>
        <v/>
      </c>
    </row>
    <row r="37" spans="1:23" ht="15" customHeight="1" x14ac:dyDescent="0.25">
      <c r="A37" s="12"/>
      <c r="B37" s="12"/>
      <c r="C37" s="19"/>
      <c r="D37" s="19"/>
      <c r="E37" s="12"/>
      <c r="F37" s="12"/>
      <c r="G37" s="12"/>
      <c r="H37" s="19"/>
      <c r="I37" s="19"/>
      <c r="J37" s="19"/>
      <c r="K37" s="19"/>
      <c r="L37" s="12"/>
      <c r="M37" s="20" t="str">
        <f>IF($A37="","",COUNTIFS(Источники!$A$2:$A$200,$A37,Источники!$G$2:$G$200,"нашли"))</f>
        <v/>
      </c>
      <c r="N37" s="21" t="str">
        <f t="shared" si="1"/>
        <v/>
      </c>
      <c r="O37" s="12"/>
      <c r="P37" s="12"/>
      <c r="Q37" s="12"/>
      <c r="R37" s="12"/>
      <c r="S37" s="12"/>
      <c r="T37" s="12"/>
      <c r="U37" s="22">
        <f>IF($A37="",0,IFERROR(MATCH($A37,Тексты!$A$1:$A$61,0),0))</f>
        <v>0</v>
      </c>
      <c r="V37" s="22">
        <f>IF($A37="",0,IFERROR(MATCH($A37,Места!$A$1:$A$61,0),0))</f>
        <v>0</v>
      </c>
      <c r="W37" s="22" t="str">
        <f>IF($A37="","",IF(COUNTIF($A$2:$A$61,$A37)&gt;1,"дубль id; ","")&amp;IF($B37="","нет эпохи; ","")&amp;IF($C37="","нет уровня; ","")&amp;IF($D37="","нет года; ","")&amp;IF($F37="","нет нити; ","")&amp;IF($H37="","нет важности; ","")&amp;IF($I37="","нет метки; ","")&amp;IF($J37="","нет возраста; ","")&amp;IF($K37="","не указана тяжёлая тема; ","")&amp;IF($M37&lt;IF($C37="frame",2,1),"источников "&amp;$M37&amp;" из "&amp;IF($C37="frame",2,1)&amp;"; ","")&amp;IF($U37=0,"нет строки в «Тексты»; ",IF(INDEX(Тексты!$C$1:$C$61,$U37)=0,"нет крючок EN; ",IF(OR(INDEX(Тексты!$C$1:$C$61,$U37)&lt;1,INDEX(Тексты!$C$1:$C$61,$U37)&gt;12),"крючок EN "&amp;INDEX(Тексты!$C$1:$C$61,$U37)&amp;" сл. (нужно 1–12); ",""))&amp;IF(INDEX(Тексты!$E$1:$E$61,$U37)=0,"нет крючок PT; ",IF(OR(INDEX(Тексты!$E$1:$E$61,$U37)&lt;1,INDEX(Тексты!$E$1:$E$61,$U37)&gt;12),"крючок PT "&amp;INDEX(Тексты!$E$1:$E$61,$U37)&amp;" сл. (нужно 1–12); ",""))&amp;IF(INDEX(Тексты!$O$1:$O$61,$U37)=0,"нет крючок RU; ",IF(OR(INDEX(Тексты!$O$1:$O$61,$U37)&lt;1,INDEX(Тексты!$O$1:$O$61,$U37)&gt;12),"крючок RU "&amp;INDEX(Тексты!$O$1:$O$61,$U37)&amp;" сл. (нужно 1–12); ",""))&amp;IF(INDEX(Тексты!$G$1:$G$61,$U37)=0,"нет история EN; ",IF(OR(INDEX(Тексты!$G$1:$G$61,$U37)&lt;40,INDEX(Тексты!$G$1:$G$61,$U37)&gt;90),"история EN "&amp;INDEX(Тексты!$G$1:$G$61,$U37)&amp;" сл. (нужно 40–90); ",""))&amp;IF(INDEX(Тексты!$I$1:$I$61,$U37)=0,"нет история PT; ",IF(OR(INDEX(Тексты!$I$1:$I$61,$U37)&lt;40,INDEX(Тексты!$I$1:$I$61,$U37)&gt;90),"история PT "&amp;INDEX(Тексты!$I$1:$I$61,$U37)&amp;" сл. (нужно 40–90); ",""))&amp;IF(INDEX(Тексты!$Q$1:$Q$61,$U37)=0,"нет история RU; ",IF(OR(INDEX(Тексты!$Q$1:$Q$61,$U37)&lt;40,INDEX(Тексты!$Q$1:$Q$61,$U37)&gt;90),"история RU "&amp;INDEX(Тексты!$Q$1:$Q$61,$U37)&amp;" сл. (нужно 40–90); ",""))&amp;IF(INDEX(Тексты!$K$1:$K$61,$U37)=0,"нет подробнее EN; ",IF(OR(INDEX(Тексты!$K$1:$K$61,$U37)&lt;1,INDEX(Тексты!$K$1:$K$61,$U37)&gt;250),"подробнее EN "&amp;INDEX(Тексты!$K$1:$K$61,$U37)&amp;" сл. (нужно 1–250); ",""))&amp;IF(INDEX(Тексты!$M$1:$M$61,$U37)=0,"нет подробнее PT; ",IF(OR(INDEX(Тексты!$M$1:$M$61,$U37)&lt;1,INDEX(Тексты!$M$1:$M$61,$U37)&gt;250),"подробнее PT "&amp;INDEX(Тексты!$M$1:$M$61,$U37)&amp;" сл. (нужно 1–250); ",""))&amp;IF(INDEX(Тексты!$S$1:$S$61,$U37)=0,"нет подробнее RU; ",IF(OR(INDEX(Тексты!$S$1:$S$61,$U37)&lt;1,INDEX(Тексты!$S$1:$S$61,$U37)&gt;250),"подробнее RU "&amp;INDEX(Тексты!$S$1:$S$61,$U37)&amp;" сл. (нужно 1–250); ","")))&amp;IF($V37=0,"нет строки в «Места»; ",IF(OR(INDEX(Места!$B$1:$B$61,$V37)="",INDEX(Места!$C$1:$C$61,$V37)="",INDEX(Места!$Q$1:$Q$61,$V37)=""),"нет названия EN/PT/RU; ","")&amp;IF(OR(INDEX(Места!$D$1:$D$61,$V37)="",INDEX(Места!$E$1:$E$61,$V37)="",INDEX(Места!$R$1:$R$61,$V37)=""),"нет slug EN/PT/RU; ","")&amp;IF(INDEX(Места!$K$1:$K$61,$V37)="","нет моста в сегодня; ","")&amp;IF(OR(INDEX(Места!$O$1:$O$61,$V37)="",INDEX(Места!$O$1:$O$61,$V37)="TODO"),"нет сайта моста; ","")&amp;IF(INDEX(Места!$P$1:$P$61,$V37)&lt;&gt;"да","координаты не проверены; ",""))&amp;IF(AND($L37="готово",OR($R37="",$S37="")),"нет рецензента/даты; ",""))</f>
        <v/>
      </c>
    </row>
    <row r="38" spans="1:23" ht="15" customHeight="1" x14ac:dyDescent="0.25">
      <c r="A38" s="12"/>
      <c r="B38" s="12"/>
      <c r="C38" s="19"/>
      <c r="D38" s="19"/>
      <c r="E38" s="12"/>
      <c r="F38" s="12"/>
      <c r="G38" s="12"/>
      <c r="H38" s="19"/>
      <c r="I38" s="19"/>
      <c r="J38" s="19"/>
      <c r="K38" s="19"/>
      <c r="L38" s="12"/>
      <c r="M38" s="20" t="str">
        <f>IF($A38="","",COUNTIFS(Источники!$A$2:$A$200,$A38,Источники!$G$2:$G$200,"нашли"))</f>
        <v/>
      </c>
      <c r="N38" s="21" t="str">
        <f t="shared" si="1"/>
        <v/>
      </c>
      <c r="O38" s="12"/>
      <c r="P38" s="12"/>
      <c r="Q38" s="12"/>
      <c r="R38" s="12"/>
      <c r="S38" s="12"/>
      <c r="T38" s="12"/>
      <c r="U38" s="22">
        <f>IF($A38="",0,IFERROR(MATCH($A38,Тексты!$A$1:$A$61,0),0))</f>
        <v>0</v>
      </c>
      <c r="V38" s="22">
        <f>IF($A38="",0,IFERROR(MATCH($A38,Места!$A$1:$A$61,0),0))</f>
        <v>0</v>
      </c>
      <c r="W38" s="22" t="str">
        <f>IF($A38="","",IF(COUNTIF($A$2:$A$61,$A38)&gt;1,"дубль id; ","")&amp;IF($B38="","нет эпохи; ","")&amp;IF($C38="","нет уровня; ","")&amp;IF($D38="","нет года; ","")&amp;IF($F38="","нет нити; ","")&amp;IF($H38="","нет важности; ","")&amp;IF($I38="","нет метки; ","")&amp;IF($J38="","нет возраста; ","")&amp;IF($K38="","не указана тяжёлая тема; ","")&amp;IF($M38&lt;IF($C38="frame",2,1),"источников "&amp;$M38&amp;" из "&amp;IF($C38="frame",2,1)&amp;"; ","")&amp;IF($U38=0,"нет строки в «Тексты»; ",IF(INDEX(Тексты!$C$1:$C$61,$U38)=0,"нет крючок EN; ",IF(OR(INDEX(Тексты!$C$1:$C$61,$U38)&lt;1,INDEX(Тексты!$C$1:$C$61,$U38)&gt;12),"крючок EN "&amp;INDEX(Тексты!$C$1:$C$61,$U38)&amp;" сл. (нужно 1–12); ",""))&amp;IF(INDEX(Тексты!$E$1:$E$61,$U38)=0,"нет крючок PT; ",IF(OR(INDEX(Тексты!$E$1:$E$61,$U38)&lt;1,INDEX(Тексты!$E$1:$E$61,$U38)&gt;12),"крючок PT "&amp;INDEX(Тексты!$E$1:$E$61,$U38)&amp;" сл. (нужно 1–12); ",""))&amp;IF(INDEX(Тексты!$O$1:$O$61,$U38)=0,"нет крючок RU; ",IF(OR(INDEX(Тексты!$O$1:$O$61,$U38)&lt;1,INDEX(Тексты!$O$1:$O$61,$U38)&gt;12),"крючок RU "&amp;INDEX(Тексты!$O$1:$O$61,$U38)&amp;" сл. (нужно 1–12); ",""))&amp;IF(INDEX(Тексты!$G$1:$G$61,$U38)=0,"нет история EN; ",IF(OR(INDEX(Тексты!$G$1:$G$61,$U38)&lt;40,INDEX(Тексты!$G$1:$G$61,$U38)&gt;90),"история EN "&amp;INDEX(Тексты!$G$1:$G$61,$U38)&amp;" сл. (нужно 40–90); ",""))&amp;IF(INDEX(Тексты!$I$1:$I$61,$U38)=0,"нет история PT; ",IF(OR(INDEX(Тексты!$I$1:$I$61,$U38)&lt;40,INDEX(Тексты!$I$1:$I$61,$U38)&gt;90),"история PT "&amp;INDEX(Тексты!$I$1:$I$61,$U38)&amp;" сл. (нужно 40–90); ",""))&amp;IF(INDEX(Тексты!$Q$1:$Q$61,$U38)=0,"нет история RU; ",IF(OR(INDEX(Тексты!$Q$1:$Q$61,$U38)&lt;40,INDEX(Тексты!$Q$1:$Q$61,$U38)&gt;90),"история RU "&amp;INDEX(Тексты!$Q$1:$Q$61,$U38)&amp;" сл. (нужно 40–90); ",""))&amp;IF(INDEX(Тексты!$K$1:$K$61,$U38)=0,"нет подробнее EN; ",IF(OR(INDEX(Тексты!$K$1:$K$61,$U38)&lt;1,INDEX(Тексты!$K$1:$K$61,$U38)&gt;250),"подробнее EN "&amp;INDEX(Тексты!$K$1:$K$61,$U38)&amp;" сл. (нужно 1–250); ",""))&amp;IF(INDEX(Тексты!$M$1:$M$61,$U38)=0,"нет подробнее PT; ",IF(OR(INDEX(Тексты!$M$1:$M$61,$U38)&lt;1,INDEX(Тексты!$M$1:$M$61,$U38)&gt;250),"подробнее PT "&amp;INDEX(Тексты!$M$1:$M$61,$U38)&amp;" сл. (нужно 1–250); ",""))&amp;IF(INDEX(Тексты!$S$1:$S$61,$U38)=0,"нет подробнее RU; ",IF(OR(INDEX(Тексты!$S$1:$S$61,$U38)&lt;1,INDEX(Тексты!$S$1:$S$61,$U38)&gt;250),"подробнее RU "&amp;INDEX(Тексты!$S$1:$S$61,$U38)&amp;" сл. (нужно 1–250); ","")))&amp;IF($V38=0,"нет строки в «Места»; ",IF(OR(INDEX(Места!$B$1:$B$61,$V38)="",INDEX(Места!$C$1:$C$61,$V38)="",INDEX(Места!$Q$1:$Q$61,$V38)=""),"нет названия EN/PT/RU; ","")&amp;IF(OR(INDEX(Места!$D$1:$D$61,$V38)="",INDEX(Места!$E$1:$E$61,$V38)="",INDEX(Места!$R$1:$R$61,$V38)=""),"нет slug EN/PT/RU; ","")&amp;IF(INDEX(Места!$K$1:$K$61,$V38)="","нет моста в сегодня; ","")&amp;IF(OR(INDEX(Места!$O$1:$O$61,$V38)="",INDEX(Места!$O$1:$O$61,$V38)="TODO"),"нет сайта моста; ","")&amp;IF(INDEX(Места!$P$1:$P$61,$V38)&lt;&gt;"да","координаты не проверены; ",""))&amp;IF(AND($L38="готово",OR($R38="",$S38="")),"нет рецензента/даты; ",""))</f>
        <v/>
      </c>
    </row>
    <row r="39" spans="1:23" ht="15" customHeight="1" x14ac:dyDescent="0.25">
      <c r="A39" s="12"/>
      <c r="B39" s="12"/>
      <c r="C39" s="19"/>
      <c r="D39" s="19"/>
      <c r="E39" s="12"/>
      <c r="F39" s="12"/>
      <c r="G39" s="12"/>
      <c r="H39" s="19"/>
      <c r="I39" s="19"/>
      <c r="J39" s="19"/>
      <c r="K39" s="19"/>
      <c r="L39" s="12"/>
      <c r="M39" s="20" t="str">
        <f>IF($A39="","",COUNTIFS(Источники!$A$2:$A$200,$A39,Источники!$G$2:$G$200,"нашли"))</f>
        <v/>
      </c>
      <c r="N39" s="21" t="str">
        <f t="shared" si="1"/>
        <v/>
      </c>
      <c r="O39" s="12"/>
      <c r="P39" s="12"/>
      <c r="Q39" s="12"/>
      <c r="R39" s="12"/>
      <c r="S39" s="12"/>
      <c r="T39" s="12"/>
      <c r="U39" s="22">
        <f>IF($A39="",0,IFERROR(MATCH($A39,Тексты!$A$1:$A$61,0),0))</f>
        <v>0</v>
      </c>
      <c r="V39" s="22">
        <f>IF($A39="",0,IFERROR(MATCH($A39,Места!$A$1:$A$61,0),0))</f>
        <v>0</v>
      </c>
      <c r="W39" s="22" t="str">
        <f>IF($A39="","",IF(COUNTIF($A$2:$A$61,$A39)&gt;1,"дубль id; ","")&amp;IF($B39="","нет эпохи; ","")&amp;IF($C39="","нет уровня; ","")&amp;IF($D39="","нет года; ","")&amp;IF($F39="","нет нити; ","")&amp;IF($H39="","нет важности; ","")&amp;IF($I39="","нет метки; ","")&amp;IF($J39="","нет возраста; ","")&amp;IF($K39="","не указана тяжёлая тема; ","")&amp;IF($M39&lt;IF($C39="frame",2,1),"источников "&amp;$M39&amp;" из "&amp;IF($C39="frame",2,1)&amp;"; ","")&amp;IF($U39=0,"нет строки в «Тексты»; ",IF(INDEX(Тексты!$C$1:$C$61,$U39)=0,"нет крючок EN; ",IF(OR(INDEX(Тексты!$C$1:$C$61,$U39)&lt;1,INDEX(Тексты!$C$1:$C$61,$U39)&gt;12),"крючок EN "&amp;INDEX(Тексты!$C$1:$C$61,$U39)&amp;" сл. (нужно 1–12); ",""))&amp;IF(INDEX(Тексты!$E$1:$E$61,$U39)=0,"нет крючок PT; ",IF(OR(INDEX(Тексты!$E$1:$E$61,$U39)&lt;1,INDEX(Тексты!$E$1:$E$61,$U39)&gt;12),"крючок PT "&amp;INDEX(Тексты!$E$1:$E$61,$U39)&amp;" сл. (нужно 1–12); ",""))&amp;IF(INDEX(Тексты!$O$1:$O$61,$U39)=0,"нет крючок RU; ",IF(OR(INDEX(Тексты!$O$1:$O$61,$U39)&lt;1,INDEX(Тексты!$O$1:$O$61,$U39)&gt;12),"крючок RU "&amp;INDEX(Тексты!$O$1:$O$61,$U39)&amp;" сл. (нужно 1–12); ",""))&amp;IF(INDEX(Тексты!$G$1:$G$61,$U39)=0,"нет история EN; ",IF(OR(INDEX(Тексты!$G$1:$G$61,$U39)&lt;40,INDEX(Тексты!$G$1:$G$61,$U39)&gt;90),"история EN "&amp;INDEX(Тексты!$G$1:$G$61,$U39)&amp;" сл. (нужно 40–90); ",""))&amp;IF(INDEX(Тексты!$I$1:$I$61,$U39)=0,"нет история PT; ",IF(OR(INDEX(Тексты!$I$1:$I$61,$U39)&lt;40,INDEX(Тексты!$I$1:$I$61,$U39)&gt;90),"история PT "&amp;INDEX(Тексты!$I$1:$I$61,$U39)&amp;" сл. (нужно 40–90); ",""))&amp;IF(INDEX(Тексты!$Q$1:$Q$61,$U39)=0,"нет история RU; ",IF(OR(INDEX(Тексты!$Q$1:$Q$61,$U39)&lt;40,INDEX(Тексты!$Q$1:$Q$61,$U39)&gt;90),"история RU "&amp;INDEX(Тексты!$Q$1:$Q$61,$U39)&amp;" сл. (нужно 40–90); ",""))&amp;IF(INDEX(Тексты!$K$1:$K$61,$U39)=0,"нет подробнее EN; ",IF(OR(INDEX(Тексты!$K$1:$K$61,$U39)&lt;1,INDEX(Тексты!$K$1:$K$61,$U39)&gt;250),"подробнее EN "&amp;INDEX(Тексты!$K$1:$K$61,$U39)&amp;" сл. (нужно 1–250); ",""))&amp;IF(INDEX(Тексты!$M$1:$M$61,$U39)=0,"нет подробнее PT; ",IF(OR(INDEX(Тексты!$M$1:$M$61,$U39)&lt;1,INDEX(Тексты!$M$1:$M$61,$U39)&gt;250),"подробнее PT "&amp;INDEX(Тексты!$M$1:$M$61,$U39)&amp;" сл. (нужно 1–250); ",""))&amp;IF(INDEX(Тексты!$S$1:$S$61,$U39)=0,"нет подробнее RU; ",IF(OR(INDEX(Тексты!$S$1:$S$61,$U39)&lt;1,INDEX(Тексты!$S$1:$S$61,$U39)&gt;250),"подробнее RU "&amp;INDEX(Тексты!$S$1:$S$61,$U39)&amp;" сл. (нужно 1–250); ","")))&amp;IF($V39=0,"нет строки в «Места»; ",IF(OR(INDEX(Места!$B$1:$B$61,$V39)="",INDEX(Места!$C$1:$C$61,$V39)="",INDEX(Места!$Q$1:$Q$61,$V39)=""),"нет названия EN/PT/RU; ","")&amp;IF(OR(INDEX(Места!$D$1:$D$61,$V39)="",INDEX(Места!$E$1:$E$61,$V39)="",INDEX(Места!$R$1:$R$61,$V39)=""),"нет slug EN/PT/RU; ","")&amp;IF(INDEX(Места!$K$1:$K$61,$V39)="","нет моста в сегодня; ","")&amp;IF(OR(INDEX(Места!$O$1:$O$61,$V39)="",INDEX(Места!$O$1:$O$61,$V39)="TODO"),"нет сайта моста; ","")&amp;IF(INDEX(Места!$P$1:$P$61,$V39)&lt;&gt;"да","координаты не проверены; ",""))&amp;IF(AND($L39="готово",OR($R39="",$S39="")),"нет рецензента/даты; ",""))</f>
        <v/>
      </c>
    </row>
    <row r="40" spans="1:23" ht="15" customHeight="1" x14ac:dyDescent="0.25">
      <c r="A40" s="12"/>
      <c r="B40" s="12"/>
      <c r="C40" s="19"/>
      <c r="D40" s="19"/>
      <c r="E40" s="12"/>
      <c r="F40" s="12"/>
      <c r="G40" s="12"/>
      <c r="H40" s="19"/>
      <c r="I40" s="19"/>
      <c r="J40" s="19"/>
      <c r="K40" s="19"/>
      <c r="L40" s="12"/>
      <c r="M40" s="20" t="str">
        <f>IF($A40="","",COUNTIFS(Источники!$A$2:$A$200,$A40,Источники!$G$2:$G$200,"нашли"))</f>
        <v/>
      </c>
      <c r="N40" s="21" t="str">
        <f t="shared" si="1"/>
        <v/>
      </c>
      <c r="O40" s="12"/>
      <c r="P40" s="12"/>
      <c r="Q40" s="12"/>
      <c r="R40" s="12"/>
      <c r="S40" s="12"/>
      <c r="T40" s="12"/>
      <c r="U40" s="22">
        <f>IF($A40="",0,IFERROR(MATCH($A40,Тексты!$A$1:$A$61,0),0))</f>
        <v>0</v>
      </c>
      <c r="V40" s="22">
        <f>IF($A40="",0,IFERROR(MATCH($A40,Места!$A$1:$A$61,0),0))</f>
        <v>0</v>
      </c>
      <c r="W40" s="22" t="str">
        <f>IF($A40="","",IF(COUNTIF($A$2:$A$61,$A40)&gt;1,"дубль id; ","")&amp;IF($B40="","нет эпохи; ","")&amp;IF($C40="","нет уровня; ","")&amp;IF($D40="","нет года; ","")&amp;IF($F40="","нет нити; ","")&amp;IF($H40="","нет важности; ","")&amp;IF($I40="","нет метки; ","")&amp;IF($J40="","нет возраста; ","")&amp;IF($K40="","не указана тяжёлая тема; ","")&amp;IF($M40&lt;IF($C40="frame",2,1),"источников "&amp;$M40&amp;" из "&amp;IF($C40="frame",2,1)&amp;"; ","")&amp;IF($U40=0,"нет строки в «Тексты»; ",IF(INDEX(Тексты!$C$1:$C$61,$U40)=0,"нет крючок EN; ",IF(OR(INDEX(Тексты!$C$1:$C$61,$U40)&lt;1,INDEX(Тексты!$C$1:$C$61,$U40)&gt;12),"крючок EN "&amp;INDEX(Тексты!$C$1:$C$61,$U40)&amp;" сл. (нужно 1–12); ",""))&amp;IF(INDEX(Тексты!$E$1:$E$61,$U40)=0,"нет крючок PT; ",IF(OR(INDEX(Тексты!$E$1:$E$61,$U40)&lt;1,INDEX(Тексты!$E$1:$E$61,$U40)&gt;12),"крючок PT "&amp;INDEX(Тексты!$E$1:$E$61,$U40)&amp;" сл. (нужно 1–12); ",""))&amp;IF(INDEX(Тексты!$O$1:$O$61,$U40)=0,"нет крючок RU; ",IF(OR(INDEX(Тексты!$O$1:$O$61,$U40)&lt;1,INDEX(Тексты!$O$1:$O$61,$U40)&gt;12),"крючок RU "&amp;INDEX(Тексты!$O$1:$O$61,$U40)&amp;" сл. (нужно 1–12); ",""))&amp;IF(INDEX(Тексты!$G$1:$G$61,$U40)=0,"нет история EN; ",IF(OR(INDEX(Тексты!$G$1:$G$61,$U40)&lt;40,INDEX(Тексты!$G$1:$G$61,$U40)&gt;90),"история EN "&amp;INDEX(Тексты!$G$1:$G$61,$U40)&amp;" сл. (нужно 40–90); ",""))&amp;IF(INDEX(Тексты!$I$1:$I$61,$U40)=0,"нет история PT; ",IF(OR(INDEX(Тексты!$I$1:$I$61,$U40)&lt;40,INDEX(Тексты!$I$1:$I$61,$U40)&gt;90),"история PT "&amp;INDEX(Тексты!$I$1:$I$61,$U40)&amp;" сл. (нужно 40–90); ",""))&amp;IF(INDEX(Тексты!$Q$1:$Q$61,$U40)=0,"нет история RU; ",IF(OR(INDEX(Тексты!$Q$1:$Q$61,$U40)&lt;40,INDEX(Тексты!$Q$1:$Q$61,$U40)&gt;90),"история RU "&amp;INDEX(Тексты!$Q$1:$Q$61,$U40)&amp;" сл. (нужно 40–90); ",""))&amp;IF(INDEX(Тексты!$K$1:$K$61,$U40)=0,"нет подробнее EN; ",IF(OR(INDEX(Тексты!$K$1:$K$61,$U40)&lt;1,INDEX(Тексты!$K$1:$K$61,$U40)&gt;250),"подробнее EN "&amp;INDEX(Тексты!$K$1:$K$61,$U40)&amp;" сл. (нужно 1–250); ",""))&amp;IF(INDEX(Тексты!$M$1:$M$61,$U40)=0,"нет подробнее PT; ",IF(OR(INDEX(Тексты!$M$1:$M$61,$U40)&lt;1,INDEX(Тексты!$M$1:$M$61,$U40)&gt;250),"подробнее PT "&amp;INDEX(Тексты!$M$1:$M$61,$U40)&amp;" сл. (нужно 1–250); ",""))&amp;IF(INDEX(Тексты!$S$1:$S$61,$U40)=0,"нет подробнее RU; ",IF(OR(INDEX(Тексты!$S$1:$S$61,$U40)&lt;1,INDEX(Тексты!$S$1:$S$61,$U40)&gt;250),"подробнее RU "&amp;INDEX(Тексты!$S$1:$S$61,$U40)&amp;" сл. (нужно 1–250); ","")))&amp;IF($V40=0,"нет строки в «Места»; ",IF(OR(INDEX(Места!$B$1:$B$61,$V40)="",INDEX(Места!$C$1:$C$61,$V40)="",INDEX(Места!$Q$1:$Q$61,$V40)=""),"нет названия EN/PT/RU; ","")&amp;IF(OR(INDEX(Места!$D$1:$D$61,$V40)="",INDEX(Места!$E$1:$E$61,$V40)="",INDEX(Места!$R$1:$R$61,$V40)=""),"нет slug EN/PT/RU; ","")&amp;IF(INDEX(Места!$K$1:$K$61,$V40)="","нет моста в сегодня; ","")&amp;IF(OR(INDEX(Места!$O$1:$O$61,$V40)="",INDEX(Места!$O$1:$O$61,$V40)="TODO"),"нет сайта моста; ","")&amp;IF(INDEX(Места!$P$1:$P$61,$V40)&lt;&gt;"да","координаты не проверены; ",""))&amp;IF(AND($L40="готово",OR($R40="",$S40="")),"нет рецензента/даты; ",""))</f>
        <v/>
      </c>
    </row>
    <row r="41" spans="1:23" ht="15" customHeight="1" x14ac:dyDescent="0.25">
      <c r="A41" s="12"/>
      <c r="B41" s="12"/>
      <c r="C41" s="19"/>
      <c r="D41" s="19"/>
      <c r="E41" s="12"/>
      <c r="F41" s="12"/>
      <c r="G41" s="12"/>
      <c r="H41" s="19"/>
      <c r="I41" s="19"/>
      <c r="J41" s="19"/>
      <c r="K41" s="19"/>
      <c r="L41" s="12"/>
      <c r="M41" s="20" t="str">
        <f>IF($A41="","",COUNTIFS(Источники!$A$2:$A$200,$A41,Источники!$G$2:$G$200,"нашли"))</f>
        <v/>
      </c>
      <c r="N41" s="21" t="str">
        <f t="shared" si="1"/>
        <v/>
      </c>
      <c r="O41" s="12"/>
      <c r="P41" s="12"/>
      <c r="Q41" s="12"/>
      <c r="R41" s="12"/>
      <c r="S41" s="12"/>
      <c r="T41" s="12"/>
      <c r="U41" s="22">
        <f>IF($A41="",0,IFERROR(MATCH($A41,Тексты!$A$1:$A$61,0),0))</f>
        <v>0</v>
      </c>
      <c r="V41" s="22">
        <f>IF($A41="",0,IFERROR(MATCH($A41,Места!$A$1:$A$61,0),0))</f>
        <v>0</v>
      </c>
      <c r="W41" s="22" t="str">
        <f>IF($A41="","",IF(COUNTIF($A$2:$A$61,$A41)&gt;1,"дубль id; ","")&amp;IF($B41="","нет эпохи; ","")&amp;IF($C41="","нет уровня; ","")&amp;IF($D41="","нет года; ","")&amp;IF($F41="","нет нити; ","")&amp;IF($H41="","нет важности; ","")&amp;IF($I41="","нет метки; ","")&amp;IF($J41="","нет возраста; ","")&amp;IF($K41="","не указана тяжёлая тема; ","")&amp;IF($M41&lt;IF($C41="frame",2,1),"источников "&amp;$M41&amp;" из "&amp;IF($C41="frame",2,1)&amp;"; ","")&amp;IF($U41=0,"нет строки в «Тексты»; ",IF(INDEX(Тексты!$C$1:$C$61,$U41)=0,"нет крючок EN; ",IF(OR(INDEX(Тексты!$C$1:$C$61,$U41)&lt;1,INDEX(Тексты!$C$1:$C$61,$U41)&gt;12),"крючок EN "&amp;INDEX(Тексты!$C$1:$C$61,$U41)&amp;" сл. (нужно 1–12); ",""))&amp;IF(INDEX(Тексты!$E$1:$E$61,$U41)=0,"нет крючок PT; ",IF(OR(INDEX(Тексты!$E$1:$E$61,$U41)&lt;1,INDEX(Тексты!$E$1:$E$61,$U41)&gt;12),"крючок PT "&amp;INDEX(Тексты!$E$1:$E$61,$U41)&amp;" сл. (нужно 1–12); ",""))&amp;IF(INDEX(Тексты!$O$1:$O$61,$U41)=0,"нет крючок RU; ",IF(OR(INDEX(Тексты!$O$1:$O$61,$U41)&lt;1,INDEX(Тексты!$O$1:$O$61,$U41)&gt;12),"крючок RU "&amp;INDEX(Тексты!$O$1:$O$61,$U41)&amp;" сл. (нужно 1–12); ",""))&amp;IF(INDEX(Тексты!$G$1:$G$61,$U41)=0,"нет история EN; ",IF(OR(INDEX(Тексты!$G$1:$G$61,$U41)&lt;40,INDEX(Тексты!$G$1:$G$61,$U41)&gt;90),"история EN "&amp;INDEX(Тексты!$G$1:$G$61,$U41)&amp;" сл. (нужно 40–90); ",""))&amp;IF(INDEX(Тексты!$I$1:$I$61,$U41)=0,"нет история PT; ",IF(OR(INDEX(Тексты!$I$1:$I$61,$U41)&lt;40,INDEX(Тексты!$I$1:$I$61,$U41)&gt;90),"история PT "&amp;INDEX(Тексты!$I$1:$I$61,$U41)&amp;" сл. (нужно 40–90); ",""))&amp;IF(INDEX(Тексты!$Q$1:$Q$61,$U41)=0,"нет история RU; ",IF(OR(INDEX(Тексты!$Q$1:$Q$61,$U41)&lt;40,INDEX(Тексты!$Q$1:$Q$61,$U41)&gt;90),"история RU "&amp;INDEX(Тексты!$Q$1:$Q$61,$U41)&amp;" сл. (нужно 40–90); ",""))&amp;IF(INDEX(Тексты!$K$1:$K$61,$U41)=0,"нет подробнее EN; ",IF(OR(INDEX(Тексты!$K$1:$K$61,$U41)&lt;1,INDEX(Тексты!$K$1:$K$61,$U41)&gt;250),"подробнее EN "&amp;INDEX(Тексты!$K$1:$K$61,$U41)&amp;" сл. (нужно 1–250); ",""))&amp;IF(INDEX(Тексты!$M$1:$M$61,$U41)=0,"нет подробнее PT; ",IF(OR(INDEX(Тексты!$M$1:$M$61,$U41)&lt;1,INDEX(Тексты!$M$1:$M$61,$U41)&gt;250),"подробнее PT "&amp;INDEX(Тексты!$M$1:$M$61,$U41)&amp;" сл. (нужно 1–250); ",""))&amp;IF(INDEX(Тексты!$S$1:$S$61,$U41)=0,"нет подробнее RU; ",IF(OR(INDEX(Тексты!$S$1:$S$61,$U41)&lt;1,INDEX(Тексты!$S$1:$S$61,$U41)&gt;250),"подробнее RU "&amp;INDEX(Тексты!$S$1:$S$61,$U41)&amp;" сл. (нужно 1–250); ","")))&amp;IF($V41=0,"нет строки в «Места»; ",IF(OR(INDEX(Места!$B$1:$B$61,$V41)="",INDEX(Места!$C$1:$C$61,$V41)="",INDEX(Места!$Q$1:$Q$61,$V41)=""),"нет названия EN/PT/RU; ","")&amp;IF(OR(INDEX(Места!$D$1:$D$61,$V41)="",INDEX(Места!$E$1:$E$61,$V41)="",INDEX(Места!$R$1:$R$61,$V41)=""),"нет slug EN/PT/RU; ","")&amp;IF(INDEX(Места!$K$1:$K$61,$V41)="","нет моста в сегодня; ","")&amp;IF(OR(INDEX(Места!$O$1:$O$61,$V41)="",INDEX(Места!$O$1:$O$61,$V41)="TODO"),"нет сайта моста; ","")&amp;IF(INDEX(Места!$P$1:$P$61,$V41)&lt;&gt;"да","координаты не проверены; ",""))&amp;IF(AND($L41="готово",OR($R41="",$S41="")),"нет рецензента/даты; ",""))</f>
        <v/>
      </c>
    </row>
    <row r="42" spans="1:23" ht="15" customHeight="1" x14ac:dyDescent="0.25">
      <c r="A42" s="12"/>
      <c r="B42" s="12"/>
      <c r="C42" s="19"/>
      <c r="D42" s="19"/>
      <c r="E42" s="12"/>
      <c r="F42" s="12"/>
      <c r="G42" s="12"/>
      <c r="H42" s="19"/>
      <c r="I42" s="19"/>
      <c r="J42" s="19"/>
      <c r="K42" s="19"/>
      <c r="L42" s="12"/>
      <c r="M42" s="20" t="str">
        <f>IF($A42="","",COUNTIFS(Источники!$A$2:$A$200,$A42,Источники!$G$2:$G$200,"нашли"))</f>
        <v/>
      </c>
      <c r="N42" s="21" t="str">
        <f t="shared" si="1"/>
        <v/>
      </c>
      <c r="O42" s="12"/>
      <c r="P42" s="12"/>
      <c r="Q42" s="12"/>
      <c r="R42" s="12"/>
      <c r="S42" s="12"/>
      <c r="T42" s="12"/>
      <c r="U42" s="22">
        <f>IF($A42="",0,IFERROR(MATCH($A42,Тексты!$A$1:$A$61,0),0))</f>
        <v>0</v>
      </c>
      <c r="V42" s="22">
        <f>IF($A42="",0,IFERROR(MATCH($A42,Места!$A$1:$A$61,0),0))</f>
        <v>0</v>
      </c>
      <c r="W42" s="22" t="str">
        <f>IF($A42="","",IF(COUNTIF($A$2:$A$61,$A42)&gt;1,"дубль id; ","")&amp;IF($B42="","нет эпохи; ","")&amp;IF($C42="","нет уровня; ","")&amp;IF($D42="","нет года; ","")&amp;IF($F42="","нет нити; ","")&amp;IF($H42="","нет важности; ","")&amp;IF($I42="","нет метки; ","")&amp;IF($J42="","нет возраста; ","")&amp;IF($K42="","не указана тяжёлая тема; ","")&amp;IF($M42&lt;IF($C42="frame",2,1),"источников "&amp;$M42&amp;" из "&amp;IF($C42="frame",2,1)&amp;"; ","")&amp;IF($U42=0,"нет строки в «Тексты»; ",IF(INDEX(Тексты!$C$1:$C$61,$U42)=0,"нет крючок EN; ",IF(OR(INDEX(Тексты!$C$1:$C$61,$U42)&lt;1,INDEX(Тексты!$C$1:$C$61,$U42)&gt;12),"крючок EN "&amp;INDEX(Тексты!$C$1:$C$61,$U42)&amp;" сл. (нужно 1–12); ",""))&amp;IF(INDEX(Тексты!$E$1:$E$61,$U42)=0,"нет крючок PT; ",IF(OR(INDEX(Тексты!$E$1:$E$61,$U42)&lt;1,INDEX(Тексты!$E$1:$E$61,$U42)&gt;12),"крючок PT "&amp;INDEX(Тексты!$E$1:$E$61,$U42)&amp;" сл. (нужно 1–12); ",""))&amp;IF(INDEX(Тексты!$O$1:$O$61,$U42)=0,"нет крючок RU; ",IF(OR(INDEX(Тексты!$O$1:$O$61,$U42)&lt;1,INDEX(Тексты!$O$1:$O$61,$U42)&gt;12),"крючок RU "&amp;INDEX(Тексты!$O$1:$O$61,$U42)&amp;" сл. (нужно 1–12); ",""))&amp;IF(INDEX(Тексты!$G$1:$G$61,$U42)=0,"нет история EN; ",IF(OR(INDEX(Тексты!$G$1:$G$61,$U42)&lt;40,INDEX(Тексты!$G$1:$G$61,$U42)&gt;90),"история EN "&amp;INDEX(Тексты!$G$1:$G$61,$U42)&amp;" сл. (нужно 40–90); ",""))&amp;IF(INDEX(Тексты!$I$1:$I$61,$U42)=0,"нет история PT; ",IF(OR(INDEX(Тексты!$I$1:$I$61,$U42)&lt;40,INDEX(Тексты!$I$1:$I$61,$U42)&gt;90),"история PT "&amp;INDEX(Тексты!$I$1:$I$61,$U42)&amp;" сл. (нужно 40–90); ",""))&amp;IF(INDEX(Тексты!$Q$1:$Q$61,$U42)=0,"нет история RU; ",IF(OR(INDEX(Тексты!$Q$1:$Q$61,$U42)&lt;40,INDEX(Тексты!$Q$1:$Q$61,$U42)&gt;90),"история RU "&amp;INDEX(Тексты!$Q$1:$Q$61,$U42)&amp;" сл. (нужно 40–90); ",""))&amp;IF(INDEX(Тексты!$K$1:$K$61,$U42)=0,"нет подробнее EN; ",IF(OR(INDEX(Тексты!$K$1:$K$61,$U42)&lt;1,INDEX(Тексты!$K$1:$K$61,$U42)&gt;250),"подробнее EN "&amp;INDEX(Тексты!$K$1:$K$61,$U42)&amp;" сл. (нужно 1–250); ",""))&amp;IF(INDEX(Тексты!$M$1:$M$61,$U42)=0,"нет подробнее PT; ",IF(OR(INDEX(Тексты!$M$1:$M$61,$U42)&lt;1,INDEX(Тексты!$M$1:$M$61,$U42)&gt;250),"подробнее PT "&amp;INDEX(Тексты!$M$1:$M$61,$U42)&amp;" сл. (нужно 1–250); ",""))&amp;IF(INDEX(Тексты!$S$1:$S$61,$U42)=0,"нет подробнее RU; ",IF(OR(INDEX(Тексты!$S$1:$S$61,$U42)&lt;1,INDEX(Тексты!$S$1:$S$61,$U42)&gt;250),"подробнее RU "&amp;INDEX(Тексты!$S$1:$S$61,$U42)&amp;" сл. (нужно 1–250); ","")))&amp;IF($V42=0,"нет строки в «Места»; ",IF(OR(INDEX(Места!$B$1:$B$61,$V42)="",INDEX(Места!$C$1:$C$61,$V42)="",INDEX(Места!$Q$1:$Q$61,$V42)=""),"нет названия EN/PT/RU; ","")&amp;IF(OR(INDEX(Места!$D$1:$D$61,$V42)="",INDEX(Места!$E$1:$E$61,$V42)="",INDEX(Места!$R$1:$R$61,$V42)=""),"нет slug EN/PT/RU; ","")&amp;IF(INDEX(Места!$K$1:$K$61,$V42)="","нет моста в сегодня; ","")&amp;IF(OR(INDEX(Места!$O$1:$O$61,$V42)="",INDEX(Места!$O$1:$O$61,$V42)="TODO"),"нет сайта моста; ","")&amp;IF(INDEX(Места!$P$1:$P$61,$V42)&lt;&gt;"да","координаты не проверены; ",""))&amp;IF(AND($L42="готово",OR($R42="",$S42="")),"нет рецензента/даты; ",""))</f>
        <v/>
      </c>
    </row>
    <row r="43" spans="1:23" ht="15" customHeight="1" x14ac:dyDescent="0.25">
      <c r="A43" s="12"/>
      <c r="B43" s="12"/>
      <c r="C43" s="19"/>
      <c r="D43" s="19"/>
      <c r="E43" s="12"/>
      <c r="F43" s="12"/>
      <c r="G43" s="12"/>
      <c r="H43" s="19"/>
      <c r="I43" s="19"/>
      <c r="J43" s="19"/>
      <c r="K43" s="19"/>
      <c r="L43" s="12"/>
      <c r="M43" s="20" t="str">
        <f>IF($A43="","",COUNTIFS(Источники!$A$2:$A$200,$A43,Источники!$G$2:$G$200,"нашли"))</f>
        <v/>
      </c>
      <c r="N43" s="21" t="str">
        <f t="shared" si="1"/>
        <v/>
      </c>
      <c r="O43" s="12"/>
      <c r="P43" s="12"/>
      <c r="Q43" s="12"/>
      <c r="R43" s="12"/>
      <c r="S43" s="12"/>
      <c r="T43" s="12"/>
      <c r="U43" s="22">
        <f>IF($A43="",0,IFERROR(MATCH($A43,Тексты!$A$1:$A$61,0),0))</f>
        <v>0</v>
      </c>
      <c r="V43" s="22">
        <f>IF($A43="",0,IFERROR(MATCH($A43,Места!$A$1:$A$61,0),0))</f>
        <v>0</v>
      </c>
      <c r="W43" s="22" t="str">
        <f>IF($A43="","",IF(COUNTIF($A$2:$A$61,$A43)&gt;1,"дубль id; ","")&amp;IF($B43="","нет эпохи; ","")&amp;IF($C43="","нет уровня; ","")&amp;IF($D43="","нет года; ","")&amp;IF($F43="","нет нити; ","")&amp;IF($H43="","нет важности; ","")&amp;IF($I43="","нет метки; ","")&amp;IF($J43="","нет возраста; ","")&amp;IF($K43="","не указана тяжёлая тема; ","")&amp;IF($M43&lt;IF($C43="frame",2,1),"источников "&amp;$M43&amp;" из "&amp;IF($C43="frame",2,1)&amp;"; ","")&amp;IF($U43=0,"нет строки в «Тексты»; ",IF(INDEX(Тексты!$C$1:$C$61,$U43)=0,"нет крючок EN; ",IF(OR(INDEX(Тексты!$C$1:$C$61,$U43)&lt;1,INDEX(Тексты!$C$1:$C$61,$U43)&gt;12),"крючок EN "&amp;INDEX(Тексты!$C$1:$C$61,$U43)&amp;" сл. (нужно 1–12); ",""))&amp;IF(INDEX(Тексты!$E$1:$E$61,$U43)=0,"нет крючок PT; ",IF(OR(INDEX(Тексты!$E$1:$E$61,$U43)&lt;1,INDEX(Тексты!$E$1:$E$61,$U43)&gt;12),"крючок PT "&amp;INDEX(Тексты!$E$1:$E$61,$U43)&amp;" сл. (нужно 1–12); ",""))&amp;IF(INDEX(Тексты!$O$1:$O$61,$U43)=0,"нет крючок RU; ",IF(OR(INDEX(Тексты!$O$1:$O$61,$U43)&lt;1,INDEX(Тексты!$O$1:$O$61,$U43)&gt;12),"крючок RU "&amp;INDEX(Тексты!$O$1:$O$61,$U43)&amp;" сл. (нужно 1–12); ",""))&amp;IF(INDEX(Тексты!$G$1:$G$61,$U43)=0,"нет история EN; ",IF(OR(INDEX(Тексты!$G$1:$G$61,$U43)&lt;40,INDEX(Тексты!$G$1:$G$61,$U43)&gt;90),"история EN "&amp;INDEX(Тексты!$G$1:$G$61,$U43)&amp;" сл. (нужно 40–90); ",""))&amp;IF(INDEX(Тексты!$I$1:$I$61,$U43)=0,"нет история PT; ",IF(OR(INDEX(Тексты!$I$1:$I$61,$U43)&lt;40,INDEX(Тексты!$I$1:$I$61,$U43)&gt;90),"история PT "&amp;INDEX(Тексты!$I$1:$I$61,$U43)&amp;" сл. (нужно 40–90); ",""))&amp;IF(INDEX(Тексты!$Q$1:$Q$61,$U43)=0,"нет история RU; ",IF(OR(INDEX(Тексты!$Q$1:$Q$61,$U43)&lt;40,INDEX(Тексты!$Q$1:$Q$61,$U43)&gt;90),"история RU "&amp;INDEX(Тексты!$Q$1:$Q$61,$U43)&amp;" сл. (нужно 40–90); ",""))&amp;IF(INDEX(Тексты!$K$1:$K$61,$U43)=0,"нет подробнее EN; ",IF(OR(INDEX(Тексты!$K$1:$K$61,$U43)&lt;1,INDEX(Тексты!$K$1:$K$61,$U43)&gt;250),"подробнее EN "&amp;INDEX(Тексты!$K$1:$K$61,$U43)&amp;" сл. (нужно 1–250); ",""))&amp;IF(INDEX(Тексты!$M$1:$M$61,$U43)=0,"нет подробнее PT; ",IF(OR(INDEX(Тексты!$M$1:$M$61,$U43)&lt;1,INDEX(Тексты!$M$1:$M$61,$U43)&gt;250),"подробнее PT "&amp;INDEX(Тексты!$M$1:$M$61,$U43)&amp;" сл. (нужно 1–250); ",""))&amp;IF(INDEX(Тексты!$S$1:$S$61,$U43)=0,"нет подробнее RU; ",IF(OR(INDEX(Тексты!$S$1:$S$61,$U43)&lt;1,INDEX(Тексты!$S$1:$S$61,$U43)&gt;250),"подробнее RU "&amp;INDEX(Тексты!$S$1:$S$61,$U43)&amp;" сл. (нужно 1–250); ","")))&amp;IF($V43=0,"нет строки в «Места»; ",IF(OR(INDEX(Места!$B$1:$B$61,$V43)="",INDEX(Места!$C$1:$C$61,$V43)="",INDEX(Места!$Q$1:$Q$61,$V43)=""),"нет названия EN/PT/RU; ","")&amp;IF(OR(INDEX(Места!$D$1:$D$61,$V43)="",INDEX(Места!$E$1:$E$61,$V43)="",INDEX(Места!$R$1:$R$61,$V43)=""),"нет slug EN/PT/RU; ","")&amp;IF(INDEX(Места!$K$1:$K$61,$V43)="","нет моста в сегодня; ","")&amp;IF(OR(INDEX(Места!$O$1:$O$61,$V43)="",INDEX(Места!$O$1:$O$61,$V43)="TODO"),"нет сайта моста; ","")&amp;IF(INDEX(Места!$P$1:$P$61,$V43)&lt;&gt;"да","координаты не проверены; ",""))&amp;IF(AND($L43="готово",OR($R43="",$S43="")),"нет рецензента/даты; ",""))</f>
        <v/>
      </c>
    </row>
    <row r="44" spans="1:23" ht="15" customHeight="1" x14ac:dyDescent="0.25">
      <c r="A44" s="12"/>
      <c r="B44" s="12"/>
      <c r="C44" s="19"/>
      <c r="D44" s="19"/>
      <c r="E44" s="12"/>
      <c r="F44" s="12"/>
      <c r="G44" s="12"/>
      <c r="H44" s="19"/>
      <c r="I44" s="19"/>
      <c r="J44" s="19"/>
      <c r="K44" s="19"/>
      <c r="L44" s="12"/>
      <c r="M44" s="20" t="str">
        <f>IF($A44="","",COUNTIFS(Источники!$A$2:$A$200,$A44,Источники!$G$2:$G$200,"нашли"))</f>
        <v/>
      </c>
      <c r="N44" s="21" t="str">
        <f t="shared" si="1"/>
        <v/>
      </c>
      <c r="O44" s="12"/>
      <c r="P44" s="12"/>
      <c r="Q44" s="12"/>
      <c r="R44" s="12"/>
      <c r="S44" s="12"/>
      <c r="T44" s="12"/>
      <c r="U44" s="22">
        <f>IF($A44="",0,IFERROR(MATCH($A44,Тексты!$A$1:$A$61,0),0))</f>
        <v>0</v>
      </c>
      <c r="V44" s="22">
        <f>IF($A44="",0,IFERROR(MATCH($A44,Места!$A$1:$A$61,0),0))</f>
        <v>0</v>
      </c>
      <c r="W44" s="22" t="str">
        <f>IF($A44="","",IF(COUNTIF($A$2:$A$61,$A44)&gt;1,"дубль id; ","")&amp;IF($B44="","нет эпохи; ","")&amp;IF($C44="","нет уровня; ","")&amp;IF($D44="","нет года; ","")&amp;IF($F44="","нет нити; ","")&amp;IF($H44="","нет важности; ","")&amp;IF($I44="","нет метки; ","")&amp;IF($J44="","нет возраста; ","")&amp;IF($K44="","не указана тяжёлая тема; ","")&amp;IF($M44&lt;IF($C44="frame",2,1),"источников "&amp;$M44&amp;" из "&amp;IF($C44="frame",2,1)&amp;"; ","")&amp;IF($U44=0,"нет строки в «Тексты»; ",IF(INDEX(Тексты!$C$1:$C$61,$U44)=0,"нет крючок EN; ",IF(OR(INDEX(Тексты!$C$1:$C$61,$U44)&lt;1,INDEX(Тексты!$C$1:$C$61,$U44)&gt;12),"крючок EN "&amp;INDEX(Тексты!$C$1:$C$61,$U44)&amp;" сл. (нужно 1–12); ",""))&amp;IF(INDEX(Тексты!$E$1:$E$61,$U44)=0,"нет крючок PT; ",IF(OR(INDEX(Тексты!$E$1:$E$61,$U44)&lt;1,INDEX(Тексты!$E$1:$E$61,$U44)&gt;12),"крючок PT "&amp;INDEX(Тексты!$E$1:$E$61,$U44)&amp;" сл. (нужно 1–12); ",""))&amp;IF(INDEX(Тексты!$O$1:$O$61,$U44)=0,"нет крючок RU; ",IF(OR(INDEX(Тексты!$O$1:$O$61,$U44)&lt;1,INDEX(Тексты!$O$1:$O$61,$U44)&gt;12),"крючок RU "&amp;INDEX(Тексты!$O$1:$O$61,$U44)&amp;" сл. (нужно 1–12); ",""))&amp;IF(INDEX(Тексты!$G$1:$G$61,$U44)=0,"нет история EN; ",IF(OR(INDEX(Тексты!$G$1:$G$61,$U44)&lt;40,INDEX(Тексты!$G$1:$G$61,$U44)&gt;90),"история EN "&amp;INDEX(Тексты!$G$1:$G$61,$U44)&amp;" сл. (нужно 40–90); ",""))&amp;IF(INDEX(Тексты!$I$1:$I$61,$U44)=0,"нет история PT; ",IF(OR(INDEX(Тексты!$I$1:$I$61,$U44)&lt;40,INDEX(Тексты!$I$1:$I$61,$U44)&gt;90),"история PT "&amp;INDEX(Тексты!$I$1:$I$61,$U44)&amp;" сл. (нужно 40–90); ",""))&amp;IF(INDEX(Тексты!$Q$1:$Q$61,$U44)=0,"нет история RU; ",IF(OR(INDEX(Тексты!$Q$1:$Q$61,$U44)&lt;40,INDEX(Тексты!$Q$1:$Q$61,$U44)&gt;90),"история RU "&amp;INDEX(Тексты!$Q$1:$Q$61,$U44)&amp;" сл. (нужно 40–90); ",""))&amp;IF(INDEX(Тексты!$K$1:$K$61,$U44)=0,"нет подробнее EN; ",IF(OR(INDEX(Тексты!$K$1:$K$61,$U44)&lt;1,INDEX(Тексты!$K$1:$K$61,$U44)&gt;250),"подробнее EN "&amp;INDEX(Тексты!$K$1:$K$61,$U44)&amp;" сл. (нужно 1–250); ",""))&amp;IF(INDEX(Тексты!$M$1:$M$61,$U44)=0,"нет подробнее PT; ",IF(OR(INDEX(Тексты!$M$1:$M$61,$U44)&lt;1,INDEX(Тексты!$M$1:$M$61,$U44)&gt;250),"подробнее PT "&amp;INDEX(Тексты!$M$1:$M$61,$U44)&amp;" сл. (нужно 1–250); ",""))&amp;IF(INDEX(Тексты!$S$1:$S$61,$U44)=0,"нет подробнее RU; ",IF(OR(INDEX(Тексты!$S$1:$S$61,$U44)&lt;1,INDEX(Тексты!$S$1:$S$61,$U44)&gt;250),"подробнее RU "&amp;INDEX(Тексты!$S$1:$S$61,$U44)&amp;" сл. (нужно 1–250); ","")))&amp;IF($V44=0,"нет строки в «Места»; ",IF(OR(INDEX(Места!$B$1:$B$61,$V44)="",INDEX(Места!$C$1:$C$61,$V44)="",INDEX(Места!$Q$1:$Q$61,$V44)=""),"нет названия EN/PT/RU; ","")&amp;IF(OR(INDEX(Места!$D$1:$D$61,$V44)="",INDEX(Места!$E$1:$E$61,$V44)="",INDEX(Места!$R$1:$R$61,$V44)=""),"нет slug EN/PT/RU; ","")&amp;IF(INDEX(Места!$K$1:$K$61,$V44)="","нет моста в сегодня; ","")&amp;IF(OR(INDEX(Места!$O$1:$O$61,$V44)="",INDEX(Места!$O$1:$O$61,$V44)="TODO"),"нет сайта моста; ","")&amp;IF(INDEX(Места!$P$1:$P$61,$V44)&lt;&gt;"да","координаты не проверены; ",""))&amp;IF(AND($L44="готово",OR($R44="",$S44="")),"нет рецензента/даты; ",""))</f>
        <v/>
      </c>
    </row>
    <row r="45" spans="1:23" ht="15" customHeight="1" x14ac:dyDescent="0.25">
      <c r="A45" s="12"/>
      <c r="B45" s="12"/>
      <c r="C45" s="19"/>
      <c r="D45" s="19"/>
      <c r="E45" s="12"/>
      <c r="F45" s="12"/>
      <c r="G45" s="12"/>
      <c r="H45" s="19"/>
      <c r="I45" s="19"/>
      <c r="J45" s="19"/>
      <c r="K45" s="19"/>
      <c r="L45" s="12"/>
      <c r="M45" s="20" t="str">
        <f>IF($A45="","",COUNTIFS(Источники!$A$2:$A$200,$A45,Источники!$G$2:$G$200,"нашли"))</f>
        <v/>
      </c>
      <c r="N45" s="21" t="str">
        <f t="shared" si="1"/>
        <v/>
      </c>
      <c r="O45" s="12"/>
      <c r="P45" s="12"/>
      <c r="Q45" s="12"/>
      <c r="R45" s="12"/>
      <c r="S45" s="12"/>
      <c r="T45" s="12"/>
      <c r="U45" s="22">
        <f>IF($A45="",0,IFERROR(MATCH($A45,Тексты!$A$1:$A$61,0),0))</f>
        <v>0</v>
      </c>
      <c r="V45" s="22">
        <f>IF($A45="",0,IFERROR(MATCH($A45,Места!$A$1:$A$61,0),0))</f>
        <v>0</v>
      </c>
      <c r="W45" s="22" t="str">
        <f>IF($A45="","",IF(COUNTIF($A$2:$A$61,$A45)&gt;1,"дубль id; ","")&amp;IF($B45="","нет эпохи; ","")&amp;IF($C45="","нет уровня; ","")&amp;IF($D45="","нет года; ","")&amp;IF($F45="","нет нити; ","")&amp;IF($H45="","нет важности; ","")&amp;IF($I45="","нет метки; ","")&amp;IF($J45="","нет возраста; ","")&amp;IF($K45="","не указана тяжёлая тема; ","")&amp;IF($M45&lt;IF($C45="frame",2,1),"источников "&amp;$M45&amp;" из "&amp;IF($C45="frame",2,1)&amp;"; ","")&amp;IF($U45=0,"нет строки в «Тексты»; ",IF(INDEX(Тексты!$C$1:$C$61,$U45)=0,"нет крючок EN; ",IF(OR(INDEX(Тексты!$C$1:$C$61,$U45)&lt;1,INDEX(Тексты!$C$1:$C$61,$U45)&gt;12),"крючок EN "&amp;INDEX(Тексты!$C$1:$C$61,$U45)&amp;" сл. (нужно 1–12); ",""))&amp;IF(INDEX(Тексты!$E$1:$E$61,$U45)=0,"нет крючок PT; ",IF(OR(INDEX(Тексты!$E$1:$E$61,$U45)&lt;1,INDEX(Тексты!$E$1:$E$61,$U45)&gt;12),"крючок PT "&amp;INDEX(Тексты!$E$1:$E$61,$U45)&amp;" сл. (нужно 1–12); ",""))&amp;IF(INDEX(Тексты!$O$1:$O$61,$U45)=0,"нет крючок RU; ",IF(OR(INDEX(Тексты!$O$1:$O$61,$U45)&lt;1,INDEX(Тексты!$O$1:$O$61,$U45)&gt;12),"крючок RU "&amp;INDEX(Тексты!$O$1:$O$61,$U45)&amp;" сл. (нужно 1–12); ",""))&amp;IF(INDEX(Тексты!$G$1:$G$61,$U45)=0,"нет история EN; ",IF(OR(INDEX(Тексты!$G$1:$G$61,$U45)&lt;40,INDEX(Тексты!$G$1:$G$61,$U45)&gt;90),"история EN "&amp;INDEX(Тексты!$G$1:$G$61,$U45)&amp;" сл. (нужно 40–90); ",""))&amp;IF(INDEX(Тексты!$I$1:$I$61,$U45)=0,"нет история PT; ",IF(OR(INDEX(Тексты!$I$1:$I$61,$U45)&lt;40,INDEX(Тексты!$I$1:$I$61,$U45)&gt;90),"история PT "&amp;INDEX(Тексты!$I$1:$I$61,$U45)&amp;" сл. (нужно 40–90); ",""))&amp;IF(INDEX(Тексты!$Q$1:$Q$61,$U45)=0,"нет история RU; ",IF(OR(INDEX(Тексты!$Q$1:$Q$61,$U45)&lt;40,INDEX(Тексты!$Q$1:$Q$61,$U45)&gt;90),"история RU "&amp;INDEX(Тексты!$Q$1:$Q$61,$U45)&amp;" сл. (нужно 40–90); ",""))&amp;IF(INDEX(Тексты!$K$1:$K$61,$U45)=0,"нет подробнее EN; ",IF(OR(INDEX(Тексты!$K$1:$K$61,$U45)&lt;1,INDEX(Тексты!$K$1:$K$61,$U45)&gt;250),"подробнее EN "&amp;INDEX(Тексты!$K$1:$K$61,$U45)&amp;" сл. (нужно 1–250); ",""))&amp;IF(INDEX(Тексты!$M$1:$M$61,$U45)=0,"нет подробнее PT; ",IF(OR(INDEX(Тексты!$M$1:$M$61,$U45)&lt;1,INDEX(Тексты!$M$1:$M$61,$U45)&gt;250),"подробнее PT "&amp;INDEX(Тексты!$M$1:$M$61,$U45)&amp;" сл. (нужно 1–250); ",""))&amp;IF(INDEX(Тексты!$S$1:$S$61,$U45)=0,"нет подробнее RU; ",IF(OR(INDEX(Тексты!$S$1:$S$61,$U45)&lt;1,INDEX(Тексты!$S$1:$S$61,$U45)&gt;250),"подробнее RU "&amp;INDEX(Тексты!$S$1:$S$61,$U45)&amp;" сл. (нужно 1–250); ","")))&amp;IF($V45=0,"нет строки в «Места»; ",IF(OR(INDEX(Места!$B$1:$B$61,$V45)="",INDEX(Места!$C$1:$C$61,$V45)="",INDEX(Места!$Q$1:$Q$61,$V45)=""),"нет названия EN/PT/RU; ","")&amp;IF(OR(INDEX(Места!$D$1:$D$61,$V45)="",INDEX(Места!$E$1:$E$61,$V45)="",INDEX(Места!$R$1:$R$61,$V45)=""),"нет slug EN/PT/RU; ","")&amp;IF(INDEX(Места!$K$1:$K$61,$V45)="","нет моста в сегодня; ","")&amp;IF(OR(INDEX(Места!$O$1:$O$61,$V45)="",INDEX(Места!$O$1:$O$61,$V45)="TODO"),"нет сайта моста; ","")&amp;IF(INDEX(Места!$P$1:$P$61,$V45)&lt;&gt;"да","координаты не проверены; ",""))&amp;IF(AND($L45="готово",OR($R45="",$S45="")),"нет рецензента/даты; ",""))</f>
        <v/>
      </c>
    </row>
    <row r="46" spans="1:23" ht="15" customHeight="1" x14ac:dyDescent="0.25">
      <c r="A46" s="12"/>
      <c r="B46" s="12"/>
      <c r="C46" s="19"/>
      <c r="D46" s="19"/>
      <c r="E46" s="12"/>
      <c r="F46" s="12"/>
      <c r="G46" s="12"/>
      <c r="H46" s="19"/>
      <c r="I46" s="19"/>
      <c r="J46" s="19"/>
      <c r="K46" s="19"/>
      <c r="L46" s="12"/>
      <c r="M46" s="20" t="str">
        <f>IF($A46="","",COUNTIFS(Источники!$A$2:$A$200,$A46,Источники!$G$2:$G$200,"нашли"))</f>
        <v/>
      </c>
      <c r="N46" s="21" t="str">
        <f t="shared" si="1"/>
        <v/>
      </c>
      <c r="O46" s="12"/>
      <c r="P46" s="12"/>
      <c r="Q46" s="12"/>
      <c r="R46" s="12"/>
      <c r="S46" s="12"/>
      <c r="T46" s="12"/>
      <c r="U46" s="22">
        <f>IF($A46="",0,IFERROR(MATCH($A46,Тексты!$A$1:$A$61,0),0))</f>
        <v>0</v>
      </c>
      <c r="V46" s="22">
        <f>IF($A46="",0,IFERROR(MATCH($A46,Места!$A$1:$A$61,0),0))</f>
        <v>0</v>
      </c>
      <c r="W46" s="22" t="str">
        <f>IF($A46="","",IF(COUNTIF($A$2:$A$61,$A46)&gt;1,"дубль id; ","")&amp;IF($B46="","нет эпохи; ","")&amp;IF($C46="","нет уровня; ","")&amp;IF($D46="","нет года; ","")&amp;IF($F46="","нет нити; ","")&amp;IF($H46="","нет важности; ","")&amp;IF($I46="","нет метки; ","")&amp;IF($J46="","нет возраста; ","")&amp;IF($K46="","не указана тяжёлая тема; ","")&amp;IF($M46&lt;IF($C46="frame",2,1),"источников "&amp;$M46&amp;" из "&amp;IF($C46="frame",2,1)&amp;"; ","")&amp;IF($U46=0,"нет строки в «Тексты»; ",IF(INDEX(Тексты!$C$1:$C$61,$U46)=0,"нет крючок EN; ",IF(OR(INDEX(Тексты!$C$1:$C$61,$U46)&lt;1,INDEX(Тексты!$C$1:$C$61,$U46)&gt;12),"крючок EN "&amp;INDEX(Тексты!$C$1:$C$61,$U46)&amp;" сл. (нужно 1–12); ",""))&amp;IF(INDEX(Тексты!$E$1:$E$61,$U46)=0,"нет крючок PT; ",IF(OR(INDEX(Тексты!$E$1:$E$61,$U46)&lt;1,INDEX(Тексты!$E$1:$E$61,$U46)&gt;12),"крючок PT "&amp;INDEX(Тексты!$E$1:$E$61,$U46)&amp;" сл. (нужно 1–12); ",""))&amp;IF(INDEX(Тексты!$O$1:$O$61,$U46)=0,"нет крючок RU; ",IF(OR(INDEX(Тексты!$O$1:$O$61,$U46)&lt;1,INDEX(Тексты!$O$1:$O$61,$U46)&gt;12),"крючок RU "&amp;INDEX(Тексты!$O$1:$O$61,$U46)&amp;" сл. (нужно 1–12); ",""))&amp;IF(INDEX(Тексты!$G$1:$G$61,$U46)=0,"нет история EN; ",IF(OR(INDEX(Тексты!$G$1:$G$61,$U46)&lt;40,INDEX(Тексты!$G$1:$G$61,$U46)&gt;90),"история EN "&amp;INDEX(Тексты!$G$1:$G$61,$U46)&amp;" сл. (нужно 40–90); ",""))&amp;IF(INDEX(Тексты!$I$1:$I$61,$U46)=0,"нет история PT; ",IF(OR(INDEX(Тексты!$I$1:$I$61,$U46)&lt;40,INDEX(Тексты!$I$1:$I$61,$U46)&gt;90),"история PT "&amp;INDEX(Тексты!$I$1:$I$61,$U46)&amp;" сл. (нужно 40–90); ",""))&amp;IF(INDEX(Тексты!$Q$1:$Q$61,$U46)=0,"нет история RU; ",IF(OR(INDEX(Тексты!$Q$1:$Q$61,$U46)&lt;40,INDEX(Тексты!$Q$1:$Q$61,$U46)&gt;90),"история RU "&amp;INDEX(Тексты!$Q$1:$Q$61,$U46)&amp;" сл. (нужно 40–90); ",""))&amp;IF(INDEX(Тексты!$K$1:$K$61,$U46)=0,"нет подробнее EN; ",IF(OR(INDEX(Тексты!$K$1:$K$61,$U46)&lt;1,INDEX(Тексты!$K$1:$K$61,$U46)&gt;250),"подробнее EN "&amp;INDEX(Тексты!$K$1:$K$61,$U46)&amp;" сл. (нужно 1–250); ",""))&amp;IF(INDEX(Тексты!$M$1:$M$61,$U46)=0,"нет подробнее PT; ",IF(OR(INDEX(Тексты!$M$1:$M$61,$U46)&lt;1,INDEX(Тексты!$M$1:$M$61,$U46)&gt;250),"подробнее PT "&amp;INDEX(Тексты!$M$1:$M$61,$U46)&amp;" сл. (нужно 1–250); ",""))&amp;IF(INDEX(Тексты!$S$1:$S$61,$U46)=0,"нет подробнее RU; ",IF(OR(INDEX(Тексты!$S$1:$S$61,$U46)&lt;1,INDEX(Тексты!$S$1:$S$61,$U46)&gt;250),"подробнее RU "&amp;INDEX(Тексты!$S$1:$S$61,$U46)&amp;" сл. (нужно 1–250); ","")))&amp;IF($V46=0,"нет строки в «Места»; ",IF(OR(INDEX(Места!$B$1:$B$61,$V46)="",INDEX(Места!$C$1:$C$61,$V46)="",INDEX(Места!$Q$1:$Q$61,$V46)=""),"нет названия EN/PT/RU; ","")&amp;IF(OR(INDEX(Места!$D$1:$D$61,$V46)="",INDEX(Места!$E$1:$E$61,$V46)="",INDEX(Места!$R$1:$R$61,$V46)=""),"нет slug EN/PT/RU; ","")&amp;IF(INDEX(Места!$K$1:$K$61,$V46)="","нет моста в сегодня; ","")&amp;IF(OR(INDEX(Места!$O$1:$O$61,$V46)="",INDEX(Места!$O$1:$O$61,$V46)="TODO"),"нет сайта моста; ","")&amp;IF(INDEX(Места!$P$1:$P$61,$V46)&lt;&gt;"да","координаты не проверены; ",""))&amp;IF(AND($L46="готово",OR($R46="",$S46="")),"нет рецензента/даты; ",""))</f>
        <v/>
      </c>
    </row>
    <row r="47" spans="1:23" ht="15" customHeight="1" x14ac:dyDescent="0.25">
      <c r="A47" s="12"/>
      <c r="B47" s="12"/>
      <c r="C47" s="19"/>
      <c r="D47" s="19"/>
      <c r="E47" s="12"/>
      <c r="F47" s="12"/>
      <c r="G47" s="12"/>
      <c r="H47" s="19"/>
      <c r="I47" s="19"/>
      <c r="J47" s="19"/>
      <c r="K47" s="19"/>
      <c r="L47" s="12"/>
      <c r="M47" s="20" t="str">
        <f>IF($A47="","",COUNTIFS(Источники!$A$2:$A$200,$A47,Источники!$G$2:$G$200,"нашли"))</f>
        <v/>
      </c>
      <c r="N47" s="21" t="str">
        <f t="shared" si="1"/>
        <v/>
      </c>
      <c r="O47" s="12"/>
      <c r="P47" s="12"/>
      <c r="Q47" s="12"/>
      <c r="R47" s="12"/>
      <c r="S47" s="12"/>
      <c r="T47" s="12"/>
      <c r="U47" s="22">
        <f>IF($A47="",0,IFERROR(MATCH($A47,Тексты!$A$1:$A$61,0),0))</f>
        <v>0</v>
      </c>
      <c r="V47" s="22">
        <f>IF($A47="",0,IFERROR(MATCH($A47,Места!$A$1:$A$61,0),0))</f>
        <v>0</v>
      </c>
      <c r="W47" s="22" t="str">
        <f>IF($A47="","",IF(COUNTIF($A$2:$A$61,$A47)&gt;1,"дубль id; ","")&amp;IF($B47="","нет эпохи; ","")&amp;IF($C47="","нет уровня; ","")&amp;IF($D47="","нет года; ","")&amp;IF($F47="","нет нити; ","")&amp;IF($H47="","нет важности; ","")&amp;IF($I47="","нет метки; ","")&amp;IF($J47="","нет возраста; ","")&amp;IF($K47="","не указана тяжёлая тема; ","")&amp;IF($M47&lt;IF($C47="frame",2,1),"источников "&amp;$M47&amp;" из "&amp;IF($C47="frame",2,1)&amp;"; ","")&amp;IF($U47=0,"нет строки в «Тексты»; ",IF(INDEX(Тексты!$C$1:$C$61,$U47)=0,"нет крючок EN; ",IF(OR(INDEX(Тексты!$C$1:$C$61,$U47)&lt;1,INDEX(Тексты!$C$1:$C$61,$U47)&gt;12),"крючок EN "&amp;INDEX(Тексты!$C$1:$C$61,$U47)&amp;" сл. (нужно 1–12); ",""))&amp;IF(INDEX(Тексты!$E$1:$E$61,$U47)=0,"нет крючок PT; ",IF(OR(INDEX(Тексты!$E$1:$E$61,$U47)&lt;1,INDEX(Тексты!$E$1:$E$61,$U47)&gt;12),"крючок PT "&amp;INDEX(Тексты!$E$1:$E$61,$U47)&amp;" сл. (нужно 1–12); ",""))&amp;IF(INDEX(Тексты!$O$1:$O$61,$U47)=0,"нет крючок RU; ",IF(OR(INDEX(Тексты!$O$1:$O$61,$U47)&lt;1,INDEX(Тексты!$O$1:$O$61,$U47)&gt;12),"крючок RU "&amp;INDEX(Тексты!$O$1:$O$61,$U47)&amp;" сл. (нужно 1–12); ",""))&amp;IF(INDEX(Тексты!$G$1:$G$61,$U47)=0,"нет история EN; ",IF(OR(INDEX(Тексты!$G$1:$G$61,$U47)&lt;40,INDEX(Тексты!$G$1:$G$61,$U47)&gt;90),"история EN "&amp;INDEX(Тексты!$G$1:$G$61,$U47)&amp;" сл. (нужно 40–90); ",""))&amp;IF(INDEX(Тексты!$I$1:$I$61,$U47)=0,"нет история PT; ",IF(OR(INDEX(Тексты!$I$1:$I$61,$U47)&lt;40,INDEX(Тексты!$I$1:$I$61,$U47)&gt;90),"история PT "&amp;INDEX(Тексты!$I$1:$I$61,$U47)&amp;" сл. (нужно 40–90); ",""))&amp;IF(INDEX(Тексты!$Q$1:$Q$61,$U47)=0,"нет история RU; ",IF(OR(INDEX(Тексты!$Q$1:$Q$61,$U47)&lt;40,INDEX(Тексты!$Q$1:$Q$61,$U47)&gt;90),"история RU "&amp;INDEX(Тексты!$Q$1:$Q$61,$U47)&amp;" сл. (нужно 40–90); ",""))&amp;IF(INDEX(Тексты!$K$1:$K$61,$U47)=0,"нет подробнее EN; ",IF(OR(INDEX(Тексты!$K$1:$K$61,$U47)&lt;1,INDEX(Тексты!$K$1:$K$61,$U47)&gt;250),"подробнее EN "&amp;INDEX(Тексты!$K$1:$K$61,$U47)&amp;" сл. (нужно 1–250); ",""))&amp;IF(INDEX(Тексты!$M$1:$M$61,$U47)=0,"нет подробнее PT; ",IF(OR(INDEX(Тексты!$M$1:$M$61,$U47)&lt;1,INDEX(Тексты!$M$1:$M$61,$U47)&gt;250),"подробнее PT "&amp;INDEX(Тексты!$M$1:$M$61,$U47)&amp;" сл. (нужно 1–250); ",""))&amp;IF(INDEX(Тексты!$S$1:$S$61,$U47)=0,"нет подробнее RU; ",IF(OR(INDEX(Тексты!$S$1:$S$61,$U47)&lt;1,INDEX(Тексты!$S$1:$S$61,$U47)&gt;250),"подробнее RU "&amp;INDEX(Тексты!$S$1:$S$61,$U47)&amp;" сл. (нужно 1–250); ","")))&amp;IF($V47=0,"нет строки в «Места»; ",IF(OR(INDEX(Места!$B$1:$B$61,$V47)="",INDEX(Места!$C$1:$C$61,$V47)="",INDEX(Места!$Q$1:$Q$61,$V47)=""),"нет названия EN/PT/RU; ","")&amp;IF(OR(INDEX(Места!$D$1:$D$61,$V47)="",INDEX(Места!$E$1:$E$61,$V47)="",INDEX(Места!$R$1:$R$61,$V47)=""),"нет slug EN/PT/RU; ","")&amp;IF(INDEX(Места!$K$1:$K$61,$V47)="","нет моста в сегодня; ","")&amp;IF(OR(INDEX(Места!$O$1:$O$61,$V47)="",INDEX(Места!$O$1:$O$61,$V47)="TODO"),"нет сайта моста; ","")&amp;IF(INDEX(Места!$P$1:$P$61,$V47)&lt;&gt;"да","координаты не проверены; ",""))&amp;IF(AND($L47="готово",OR($R47="",$S47="")),"нет рецензента/даты; ",""))</f>
        <v/>
      </c>
    </row>
    <row r="48" spans="1:23" ht="15" customHeight="1" x14ac:dyDescent="0.25">
      <c r="A48" s="12"/>
      <c r="B48" s="12"/>
      <c r="C48" s="19"/>
      <c r="D48" s="19"/>
      <c r="E48" s="12"/>
      <c r="F48" s="12"/>
      <c r="G48" s="12"/>
      <c r="H48" s="19"/>
      <c r="I48" s="19"/>
      <c r="J48" s="19"/>
      <c r="K48" s="19"/>
      <c r="L48" s="12"/>
      <c r="M48" s="20" t="str">
        <f>IF($A48="","",COUNTIFS(Источники!$A$2:$A$200,$A48,Источники!$G$2:$G$200,"нашли"))</f>
        <v/>
      </c>
      <c r="N48" s="21" t="str">
        <f t="shared" si="1"/>
        <v/>
      </c>
      <c r="O48" s="12"/>
      <c r="P48" s="12"/>
      <c r="Q48" s="12"/>
      <c r="R48" s="12"/>
      <c r="S48" s="12"/>
      <c r="T48" s="12"/>
      <c r="U48" s="22">
        <f>IF($A48="",0,IFERROR(MATCH($A48,Тексты!$A$1:$A$61,0),0))</f>
        <v>0</v>
      </c>
      <c r="V48" s="22">
        <f>IF($A48="",0,IFERROR(MATCH($A48,Места!$A$1:$A$61,0),0))</f>
        <v>0</v>
      </c>
      <c r="W48" s="22" t="str">
        <f>IF($A48="","",IF(COUNTIF($A$2:$A$61,$A48)&gt;1,"дубль id; ","")&amp;IF($B48="","нет эпохи; ","")&amp;IF($C48="","нет уровня; ","")&amp;IF($D48="","нет года; ","")&amp;IF($F48="","нет нити; ","")&amp;IF($H48="","нет важности; ","")&amp;IF($I48="","нет метки; ","")&amp;IF($J48="","нет возраста; ","")&amp;IF($K48="","не указана тяжёлая тема; ","")&amp;IF($M48&lt;IF($C48="frame",2,1),"источников "&amp;$M48&amp;" из "&amp;IF($C48="frame",2,1)&amp;"; ","")&amp;IF($U48=0,"нет строки в «Тексты»; ",IF(INDEX(Тексты!$C$1:$C$61,$U48)=0,"нет крючок EN; ",IF(OR(INDEX(Тексты!$C$1:$C$61,$U48)&lt;1,INDEX(Тексты!$C$1:$C$61,$U48)&gt;12),"крючок EN "&amp;INDEX(Тексты!$C$1:$C$61,$U48)&amp;" сл. (нужно 1–12); ",""))&amp;IF(INDEX(Тексты!$E$1:$E$61,$U48)=0,"нет крючок PT; ",IF(OR(INDEX(Тексты!$E$1:$E$61,$U48)&lt;1,INDEX(Тексты!$E$1:$E$61,$U48)&gt;12),"крючок PT "&amp;INDEX(Тексты!$E$1:$E$61,$U48)&amp;" сл. (нужно 1–12); ",""))&amp;IF(INDEX(Тексты!$O$1:$O$61,$U48)=0,"нет крючок RU; ",IF(OR(INDEX(Тексты!$O$1:$O$61,$U48)&lt;1,INDEX(Тексты!$O$1:$O$61,$U48)&gt;12),"крючок RU "&amp;INDEX(Тексты!$O$1:$O$61,$U48)&amp;" сл. (нужно 1–12); ",""))&amp;IF(INDEX(Тексты!$G$1:$G$61,$U48)=0,"нет история EN; ",IF(OR(INDEX(Тексты!$G$1:$G$61,$U48)&lt;40,INDEX(Тексты!$G$1:$G$61,$U48)&gt;90),"история EN "&amp;INDEX(Тексты!$G$1:$G$61,$U48)&amp;" сл. (нужно 40–90); ",""))&amp;IF(INDEX(Тексты!$I$1:$I$61,$U48)=0,"нет история PT; ",IF(OR(INDEX(Тексты!$I$1:$I$61,$U48)&lt;40,INDEX(Тексты!$I$1:$I$61,$U48)&gt;90),"история PT "&amp;INDEX(Тексты!$I$1:$I$61,$U48)&amp;" сл. (нужно 40–90); ",""))&amp;IF(INDEX(Тексты!$Q$1:$Q$61,$U48)=0,"нет история RU; ",IF(OR(INDEX(Тексты!$Q$1:$Q$61,$U48)&lt;40,INDEX(Тексты!$Q$1:$Q$61,$U48)&gt;90),"история RU "&amp;INDEX(Тексты!$Q$1:$Q$61,$U48)&amp;" сл. (нужно 40–90); ",""))&amp;IF(INDEX(Тексты!$K$1:$K$61,$U48)=0,"нет подробнее EN; ",IF(OR(INDEX(Тексты!$K$1:$K$61,$U48)&lt;1,INDEX(Тексты!$K$1:$K$61,$U48)&gt;250),"подробнее EN "&amp;INDEX(Тексты!$K$1:$K$61,$U48)&amp;" сл. (нужно 1–250); ",""))&amp;IF(INDEX(Тексты!$M$1:$M$61,$U48)=0,"нет подробнее PT; ",IF(OR(INDEX(Тексты!$M$1:$M$61,$U48)&lt;1,INDEX(Тексты!$M$1:$M$61,$U48)&gt;250),"подробнее PT "&amp;INDEX(Тексты!$M$1:$M$61,$U48)&amp;" сл. (нужно 1–250); ",""))&amp;IF(INDEX(Тексты!$S$1:$S$61,$U48)=0,"нет подробнее RU; ",IF(OR(INDEX(Тексты!$S$1:$S$61,$U48)&lt;1,INDEX(Тексты!$S$1:$S$61,$U48)&gt;250),"подробнее RU "&amp;INDEX(Тексты!$S$1:$S$61,$U48)&amp;" сл. (нужно 1–250); ","")))&amp;IF($V48=0,"нет строки в «Места»; ",IF(OR(INDEX(Места!$B$1:$B$61,$V48)="",INDEX(Места!$C$1:$C$61,$V48)="",INDEX(Места!$Q$1:$Q$61,$V48)=""),"нет названия EN/PT/RU; ","")&amp;IF(OR(INDEX(Места!$D$1:$D$61,$V48)="",INDEX(Места!$E$1:$E$61,$V48)="",INDEX(Места!$R$1:$R$61,$V48)=""),"нет slug EN/PT/RU; ","")&amp;IF(INDEX(Места!$K$1:$K$61,$V48)="","нет моста в сегодня; ","")&amp;IF(OR(INDEX(Места!$O$1:$O$61,$V48)="",INDEX(Места!$O$1:$O$61,$V48)="TODO"),"нет сайта моста; ","")&amp;IF(INDEX(Места!$P$1:$P$61,$V48)&lt;&gt;"да","координаты не проверены; ",""))&amp;IF(AND($L48="готово",OR($R48="",$S48="")),"нет рецензента/даты; ",""))</f>
        <v/>
      </c>
    </row>
    <row r="49" spans="1:23" ht="15" customHeight="1" x14ac:dyDescent="0.25">
      <c r="A49" s="12"/>
      <c r="B49" s="12"/>
      <c r="C49" s="19"/>
      <c r="D49" s="19"/>
      <c r="E49" s="12"/>
      <c r="F49" s="12"/>
      <c r="G49" s="12"/>
      <c r="H49" s="19"/>
      <c r="I49" s="19"/>
      <c r="J49" s="19"/>
      <c r="K49" s="19"/>
      <c r="L49" s="12"/>
      <c r="M49" s="20" t="str">
        <f>IF($A49="","",COUNTIFS(Источники!$A$2:$A$200,$A49,Источники!$G$2:$G$200,"нашли"))</f>
        <v/>
      </c>
      <c r="N49" s="21" t="str">
        <f t="shared" si="1"/>
        <v/>
      </c>
      <c r="O49" s="12"/>
      <c r="P49" s="12"/>
      <c r="Q49" s="12"/>
      <c r="R49" s="12"/>
      <c r="S49" s="12"/>
      <c r="T49" s="12"/>
      <c r="U49" s="22">
        <f>IF($A49="",0,IFERROR(MATCH($A49,Тексты!$A$1:$A$61,0),0))</f>
        <v>0</v>
      </c>
      <c r="V49" s="22">
        <f>IF($A49="",0,IFERROR(MATCH($A49,Места!$A$1:$A$61,0),0))</f>
        <v>0</v>
      </c>
      <c r="W49" s="22" t="str">
        <f>IF($A49="","",IF(COUNTIF($A$2:$A$61,$A49)&gt;1,"дубль id; ","")&amp;IF($B49="","нет эпохи; ","")&amp;IF($C49="","нет уровня; ","")&amp;IF($D49="","нет года; ","")&amp;IF($F49="","нет нити; ","")&amp;IF($H49="","нет важности; ","")&amp;IF($I49="","нет метки; ","")&amp;IF($J49="","нет возраста; ","")&amp;IF($K49="","не указана тяжёлая тема; ","")&amp;IF($M49&lt;IF($C49="frame",2,1),"источников "&amp;$M49&amp;" из "&amp;IF($C49="frame",2,1)&amp;"; ","")&amp;IF($U49=0,"нет строки в «Тексты»; ",IF(INDEX(Тексты!$C$1:$C$61,$U49)=0,"нет крючок EN; ",IF(OR(INDEX(Тексты!$C$1:$C$61,$U49)&lt;1,INDEX(Тексты!$C$1:$C$61,$U49)&gt;12),"крючок EN "&amp;INDEX(Тексты!$C$1:$C$61,$U49)&amp;" сл. (нужно 1–12); ",""))&amp;IF(INDEX(Тексты!$E$1:$E$61,$U49)=0,"нет крючок PT; ",IF(OR(INDEX(Тексты!$E$1:$E$61,$U49)&lt;1,INDEX(Тексты!$E$1:$E$61,$U49)&gt;12),"крючок PT "&amp;INDEX(Тексты!$E$1:$E$61,$U49)&amp;" сл. (нужно 1–12); ",""))&amp;IF(INDEX(Тексты!$O$1:$O$61,$U49)=0,"нет крючок RU; ",IF(OR(INDEX(Тексты!$O$1:$O$61,$U49)&lt;1,INDEX(Тексты!$O$1:$O$61,$U49)&gt;12),"крючок RU "&amp;INDEX(Тексты!$O$1:$O$61,$U49)&amp;" сл. (нужно 1–12); ",""))&amp;IF(INDEX(Тексты!$G$1:$G$61,$U49)=0,"нет история EN; ",IF(OR(INDEX(Тексты!$G$1:$G$61,$U49)&lt;40,INDEX(Тексты!$G$1:$G$61,$U49)&gt;90),"история EN "&amp;INDEX(Тексты!$G$1:$G$61,$U49)&amp;" сл. (нужно 40–90); ",""))&amp;IF(INDEX(Тексты!$I$1:$I$61,$U49)=0,"нет история PT; ",IF(OR(INDEX(Тексты!$I$1:$I$61,$U49)&lt;40,INDEX(Тексты!$I$1:$I$61,$U49)&gt;90),"история PT "&amp;INDEX(Тексты!$I$1:$I$61,$U49)&amp;" сл. (нужно 40–90); ",""))&amp;IF(INDEX(Тексты!$Q$1:$Q$61,$U49)=0,"нет история RU; ",IF(OR(INDEX(Тексты!$Q$1:$Q$61,$U49)&lt;40,INDEX(Тексты!$Q$1:$Q$61,$U49)&gt;90),"история RU "&amp;INDEX(Тексты!$Q$1:$Q$61,$U49)&amp;" сл. (нужно 40–90); ",""))&amp;IF(INDEX(Тексты!$K$1:$K$61,$U49)=0,"нет подробнее EN; ",IF(OR(INDEX(Тексты!$K$1:$K$61,$U49)&lt;1,INDEX(Тексты!$K$1:$K$61,$U49)&gt;250),"подробнее EN "&amp;INDEX(Тексты!$K$1:$K$61,$U49)&amp;" сл. (нужно 1–250); ",""))&amp;IF(INDEX(Тексты!$M$1:$M$61,$U49)=0,"нет подробнее PT; ",IF(OR(INDEX(Тексты!$M$1:$M$61,$U49)&lt;1,INDEX(Тексты!$M$1:$M$61,$U49)&gt;250),"подробнее PT "&amp;INDEX(Тексты!$M$1:$M$61,$U49)&amp;" сл. (нужно 1–250); ",""))&amp;IF(INDEX(Тексты!$S$1:$S$61,$U49)=0,"нет подробнее RU; ",IF(OR(INDEX(Тексты!$S$1:$S$61,$U49)&lt;1,INDEX(Тексты!$S$1:$S$61,$U49)&gt;250),"подробнее RU "&amp;INDEX(Тексты!$S$1:$S$61,$U49)&amp;" сл. (нужно 1–250); ","")))&amp;IF($V49=0,"нет строки в «Места»; ",IF(OR(INDEX(Места!$B$1:$B$61,$V49)="",INDEX(Места!$C$1:$C$61,$V49)="",INDEX(Места!$Q$1:$Q$61,$V49)=""),"нет названия EN/PT/RU; ","")&amp;IF(OR(INDEX(Места!$D$1:$D$61,$V49)="",INDEX(Места!$E$1:$E$61,$V49)="",INDEX(Места!$R$1:$R$61,$V49)=""),"нет slug EN/PT/RU; ","")&amp;IF(INDEX(Места!$K$1:$K$61,$V49)="","нет моста в сегодня; ","")&amp;IF(OR(INDEX(Места!$O$1:$O$61,$V49)="",INDEX(Места!$O$1:$O$61,$V49)="TODO"),"нет сайта моста; ","")&amp;IF(INDEX(Места!$P$1:$P$61,$V49)&lt;&gt;"да","координаты не проверены; ",""))&amp;IF(AND($L49="готово",OR($R49="",$S49="")),"нет рецензента/даты; ",""))</f>
        <v/>
      </c>
    </row>
    <row r="50" spans="1:23" ht="15" customHeight="1" x14ac:dyDescent="0.25">
      <c r="A50" s="12"/>
      <c r="B50" s="12"/>
      <c r="C50" s="19"/>
      <c r="D50" s="19"/>
      <c r="E50" s="12"/>
      <c r="F50" s="12"/>
      <c r="G50" s="12"/>
      <c r="H50" s="19"/>
      <c r="I50" s="19"/>
      <c r="J50" s="19"/>
      <c r="K50" s="19"/>
      <c r="L50" s="12"/>
      <c r="M50" s="20" t="str">
        <f>IF($A50="","",COUNTIFS(Источники!$A$2:$A$200,$A50,Источники!$G$2:$G$200,"нашли"))</f>
        <v/>
      </c>
      <c r="N50" s="21" t="str">
        <f t="shared" si="1"/>
        <v/>
      </c>
      <c r="O50" s="12"/>
      <c r="P50" s="12"/>
      <c r="Q50" s="12"/>
      <c r="R50" s="12"/>
      <c r="S50" s="12"/>
      <c r="T50" s="12"/>
      <c r="U50" s="22">
        <f>IF($A50="",0,IFERROR(MATCH($A50,Тексты!$A$1:$A$61,0),0))</f>
        <v>0</v>
      </c>
      <c r="V50" s="22">
        <f>IF($A50="",0,IFERROR(MATCH($A50,Места!$A$1:$A$61,0),0))</f>
        <v>0</v>
      </c>
      <c r="W50" s="22" t="str">
        <f>IF($A50="","",IF(COUNTIF($A$2:$A$61,$A50)&gt;1,"дубль id; ","")&amp;IF($B50="","нет эпохи; ","")&amp;IF($C50="","нет уровня; ","")&amp;IF($D50="","нет года; ","")&amp;IF($F50="","нет нити; ","")&amp;IF($H50="","нет важности; ","")&amp;IF($I50="","нет метки; ","")&amp;IF($J50="","нет возраста; ","")&amp;IF($K50="","не указана тяжёлая тема; ","")&amp;IF($M50&lt;IF($C50="frame",2,1),"источников "&amp;$M50&amp;" из "&amp;IF($C50="frame",2,1)&amp;"; ","")&amp;IF($U50=0,"нет строки в «Тексты»; ",IF(INDEX(Тексты!$C$1:$C$61,$U50)=0,"нет крючок EN; ",IF(OR(INDEX(Тексты!$C$1:$C$61,$U50)&lt;1,INDEX(Тексты!$C$1:$C$61,$U50)&gt;12),"крючок EN "&amp;INDEX(Тексты!$C$1:$C$61,$U50)&amp;" сл. (нужно 1–12); ",""))&amp;IF(INDEX(Тексты!$E$1:$E$61,$U50)=0,"нет крючок PT; ",IF(OR(INDEX(Тексты!$E$1:$E$61,$U50)&lt;1,INDEX(Тексты!$E$1:$E$61,$U50)&gt;12),"крючок PT "&amp;INDEX(Тексты!$E$1:$E$61,$U50)&amp;" сл. (нужно 1–12); ",""))&amp;IF(INDEX(Тексты!$O$1:$O$61,$U50)=0,"нет крючок RU; ",IF(OR(INDEX(Тексты!$O$1:$O$61,$U50)&lt;1,INDEX(Тексты!$O$1:$O$61,$U50)&gt;12),"крючок RU "&amp;INDEX(Тексты!$O$1:$O$61,$U50)&amp;" сл. (нужно 1–12); ",""))&amp;IF(INDEX(Тексты!$G$1:$G$61,$U50)=0,"нет история EN; ",IF(OR(INDEX(Тексты!$G$1:$G$61,$U50)&lt;40,INDEX(Тексты!$G$1:$G$61,$U50)&gt;90),"история EN "&amp;INDEX(Тексты!$G$1:$G$61,$U50)&amp;" сл. (нужно 40–90); ",""))&amp;IF(INDEX(Тексты!$I$1:$I$61,$U50)=0,"нет история PT; ",IF(OR(INDEX(Тексты!$I$1:$I$61,$U50)&lt;40,INDEX(Тексты!$I$1:$I$61,$U50)&gt;90),"история PT "&amp;INDEX(Тексты!$I$1:$I$61,$U50)&amp;" сл. (нужно 40–90); ",""))&amp;IF(INDEX(Тексты!$Q$1:$Q$61,$U50)=0,"нет история RU; ",IF(OR(INDEX(Тексты!$Q$1:$Q$61,$U50)&lt;40,INDEX(Тексты!$Q$1:$Q$61,$U50)&gt;90),"история RU "&amp;INDEX(Тексты!$Q$1:$Q$61,$U50)&amp;" сл. (нужно 40–90); ",""))&amp;IF(INDEX(Тексты!$K$1:$K$61,$U50)=0,"нет подробнее EN; ",IF(OR(INDEX(Тексты!$K$1:$K$61,$U50)&lt;1,INDEX(Тексты!$K$1:$K$61,$U50)&gt;250),"подробнее EN "&amp;INDEX(Тексты!$K$1:$K$61,$U50)&amp;" сл. (нужно 1–250); ",""))&amp;IF(INDEX(Тексты!$M$1:$M$61,$U50)=0,"нет подробнее PT; ",IF(OR(INDEX(Тексты!$M$1:$M$61,$U50)&lt;1,INDEX(Тексты!$M$1:$M$61,$U50)&gt;250),"подробнее PT "&amp;INDEX(Тексты!$M$1:$M$61,$U50)&amp;" сл. (нужно 1–250); ",""))&amp;IF(INDEX(Тексты!$S$1:$S$61,$U50)=0,"нет подробнее RU; ",IF(OR(INDEX(Тексты!$S$1:$S$61,$U50)&lt;1,INDEX(Тексты!$S$1:$S$61,$U50)&gt;250),"подробнее RU "&amp;INDEX(Тексты!$S$1:$S$61,$U50)&amp;" сл. (нужно 1–250); ","")))&amp;IF($V50=0,"нет строки в «Места»; ",IF(OR(INDEX(Места!$B$1:$B$61,$V50)="",INDEX(Места!$C$1:$C$61,$V50)="",INDEX(Места!$Q$1:$Q$61,$V50)=""),"нет названия EN/PT/RU; ","")&amp;IF(OR(INDEX(Места!$D$1:$D$61,$V50)="",INDEX(Места!$E$1:$E$61,$V50)="",INDEX(Места!$R$1:$R$61,$V50)=""),"нет slug EN/PT/RU; ","")&amp;IF(INDEX(Места!$K$1:$K$61,$V50)="","нет моста в сегодня; ","")&amp;IF(OR(INDEX(Места!$O$1:$O$61,$V50)="",INDEX(Места!$O$1:$O$61,$V50)="TODO"),"нет сайта моста; ","")&amp;IF(INDEX(Места!$P$1:$P$61,$V50)&lt;&gt;"да","координаты не проверены; ",""))&amp;IF(AND($L50="готово",OR($R50="",$S50="")),"нет рецензента/даты; ",""))</f>
        <v/>
      </c>
    </row>
    <row r="51" spans="1:23" ht="15" customHeight="1" x14ac:dyDescent="0.25">
      <c r="A51" s="12"/>
      <c r="B51" s="12"/>
      <c r="C51" s="19"/>
      <c r="D51" s="19"/>
      <c r="E51" s="12"/>
      <c r="F51" s="12"/>
      <c r="G51" s="12"/>
      <c r="H51" s="19"/>
      <c r="I51" s="19"/>
      <c r="J51" s="19"/>
      <c r="K51" s="19"/>
      <c r="L51" s="12"/>
      <c r="M51" s="20" t="str">
        <f>IF($A51="","",COUNTIFS(Источники!$A$2:$A$200,$A51,Источники!$G$2:$G$200,"нашли"))</f>
        <v/>
      </c>
      <c r="N51" s="21" t="str">
        <f t="shared" si="1"/>
        <v/>
      </c>
      <c r="O51" s="12"/>
      <c r="P51" s="12"/>
      <c r="Q51" s="12"/>
      <c r="R51" s="12"/>
      <c r="S51" s="12"/>
      <c r="T51" s="12"/>
      <c r="U51" s="22">
        <f>IF($A51="",0,IFERROR(MATCH($A51,Тексты!$A$1:$A$61,0),0))</f>
        <v>0</v>
      </c>
      <c r="V51" s="22">
        <f>IF($A51="",0,IFERROR(MATCH($A51,Места!$A$1:$A$61,0),0))</f>
        <v>0</v>
      </c>
      <c r="W51" s="22" t="str">
        <f>IF($A51="","",IF(COUNTIF($A$2:$A$61,$A51)&gt;1,"дубль id; ","")&amp;IF($B51="","нет эпохи; ","")&amp;IF($C51="","нет уровня; ","")&amp;IF($D51="","нет года; ","")&amp;IF($F51="","нет нити; ","")&amp;IF($H51="","нет важности; ","")&amp;IF($I51="","нет метки; ","")&amp;IF($J51="","нет возраста; ","")&amp;IF($K51="","не указана тяжёлая тема; ","")&amp;IF($M51&lt;IF($C51="frame",2,1),"источников "&amp;$M51&amp;" из "&amp;IF($C51="frame",2,1)&amp;"; ","")&amp;IF($U51=0,"нет строки в «Тексты»; ",IF(INDEX(Тексты!$C$1:$C$61,$U51)=0,"нет крючок EN; ",IF(OR(INDEX(Тексты!$C$1:$C$61,$U51)&lt;1,INDEX(Тексты!$C$1:$C$61,$U51)&gt;12),"крючок EN "&amp;INDEX(Тексты!$C$1:$C$61,$U51)&amp;" сл. (нужно 1–12); ",""))&amp;IF(INDEX(Тексты!$E$1:$E$61,$U51)=0,"нет крючок PT; ",IF(OR(INDEX(Тексты!$E$1:$E$61,$U51)&lt;1,INDEX(Тексты!$E$1:$E$61,$U51)&gt;12),"крючок PT "&amp;INDEX(Тексты!$E$1:$E$61,$U51)&amp;" сл. (нужно 1–12); ",""))&amp;IF(INDEX(Тексты!$O$1:$O$61,$U51)=0,"нет крючок RU; ",IF(OR(INDEX(Тексты!$O$1:$O$61,$U51)&lt;1,INDEX(Тексты!$O$1:$O$61,$U51)&gt;12),"крючок RU "&amp;INDEX(Тексты!$O$1:$O$61,$U51)&amp;" сл. (нужно 1–12); ",""))&amp;IF(INDEX(Тексты!$G$1:$G$61,$U51)=0,"нет история EN; ",IF(OR(INDEX(Тексты!$G$1:$G$61,$U51)&lt;40,INDEX(Тексты!$G$1:$G$61,$U51)&gt;90),"история EN "&amp;INDEX(Тексты!$G$1:$G$61,$U51)&amp;" сл. (нужно 40–90); ",""))&amp;IF(INDEX(Тексты!$I$1:$I$61,$U51)=0,"нет история PT; ",IF(OR(INDEX(Тексты!$I$1:$I$61,$U51)&lt;40,INDEX(Тексты!$I$1:$I$61,$U51)&gt;90),"история PT "&amp;INDEX(Тексты!$I$1:$I$61,$U51)&amp;" сл. (нужно 40–90); ",""))&amp;IF(INDEX(Тексты!$Q$1:$Q$61,$U51)=0,"нет история RU; ",IF(OR(INDEX(Тексты!$Q$1:$Q$61,$U51)&lt;40,INDEX(Тексты!$Q$1:$Q$61,$U51)&gt;90),"история RU "&amp;INDEX(Тексты!$Q$1:$Q$61,$U51)&amp;" сл. (нужно 40–90); ",""))&amp;IF(INDEX(Тексты!$K$1:$K$61,$U51)=0,"нет подробнее EN; ",IF(OR(INDEX(Тексты!$K$1:$K$61,$U51)&lt;1,INDEX(Тексты!$K$1:$K$61,$U51)&gt;250),"подробнее EN "&amp;INDEX(Тексты!$K$1:$K$61,$U51)&amp;" сл. (нужно 1–250); ",""))&amp;IF(INDEX(Тексты!$M$1:$M$61,$U51)=0,"нет подробнее PT; ",IF(OR(INDEX(Тексты!$M$1:$M$61,$U51)&lt;1,INDEX(Тексты!$M$1:$M$61,$U51)&gt;250),"подробнее PT "&amp;INDEX(Тексты!$M$1:$M$61,$U51)&amp;" сл. (нужно 1–250); ",""))&amp;IF(INDEX(Тексты!$S$1:$S$61,$U51)=0,"нет подробнее RU; ",IF(OR(INDEX(Тексты!$S$1:$S$61,$U51)&lt;1,INDEX(Тексты!$S$1:$S$61,$U51)&gt;250),"подробнее RU "&amp;INDEX(Тексты!$S$1:$S$61,$U51)&amp;" сл. (нужно 1–250); ","")))&amp;IF($V51=0,"нет строки в «Места»; ",IF(OR(INDEX(Места!$B$1:$B$61,$V51)="",INDEX(Места!$C$1:$C$61,$V51)="",INDEX(Места!$Q$1:$Q$61,$V51)=""),"нет названия EN/PT/RU; ","")&amp;IF(OR(INDEX(Места!$D$1:$D$61,$V51)="",INDEX(Места!$E$1:$E$61,$V51)="",INDEX(Места!$R$1:$R$61,$V51)=""),"нет slug EN/PT/RU; ","")&amp;IF(INDEX(Места!$K$1:$K$61,$V51)="","нет моста в сегодня; ","")&amp;IF(OR(INDEX(Места!$O$1:$O$61,$V51)="",INDEX(Места!$O$1:$O$61,$V51)="TODO"),"нет сайта моста; ","")&amp;IF(INDEX(Места!$P$1:$P$61,$V51)&lt;&gt;"да","координаты не проверены; ",""))&amp;IF(AND($L51="готово",OR($R51="",$S51="")),"нет рецензента/даты; ",""))</f>
        <v/>
      </c>
    </row>
    <row r="52" spans="1:23" ht="15" customHeight="1" x14ac:dyDescent="0.25">
      <c r="A52" s="12"/>
      <c r="B52" s="12"/>
      <c r="C52" s="19"/>
      <c r="D52" s="19"/>
      <c r="E52" s="12"/>
      <c r="F52" s="12"/>
      <c r="G52" s="12"/>
      <c r="H52" s="19"/>
      <c r="I52" s="19"/>
      <c r="J52" s="19"/>
      <c r="K52" s="19"/>
      <c r="L52" s="12"/>
      <c r="M52" s="20" t="str">
        <f>IF($A52="","",COUNTIFS(Источники!$A$2:$A$200,$A52,Источники!$G$2:$G$200,"нашли"))</f>
        <v/>
      </c>
      <c r="N52" s="21" t="str">
        <f t="shared" si="1"/>
        <v/>
      </c>
      <c r="O52" s="12"/>
      <c r="P52" s="12"/>
      <c r="Q52" s="12"/>
      <c r="R52" s="12"/>
      <c r="S52" s="12"/>
      <c r="T52" s="12"/>
      <c r="U52" s="22">
        <f>IF($A52="",0,IFERROR(MATCH($A52,Тексты!$A$1:$A$61,0),0))</f>
        <v>0</v>
      </c>
      <c r="V52" s="22">
        <f>IF($A52="",0,IFERROR(MATCH($A52,Места!$A$1:$A$61,0),0))</f>
        <v>0</v>
      </c>
      <c r="W52" s="22" t="str">
        <f>IF($A52="","",IF(COUNTIF($A$2:$A$61,$A52)&gt;1,"дубль id; ","")&amp;IF($B52="","нет эпохи; ","")&amp;IF($C52="","нет уровня; ","")&amp;IF($D52="","нет года; ","")&amp;IF($F52="","нет нити; ","")&amp;IF($H52="","нет важности; ","")&amp;IF($I52="","нет метки; ","")&amp;IF($J52="","нет возраста; ","")&amp;IF($K52="","не указана тяжёлая тема; ","")&amp;IF($M52&lt;IF($C52="frame",2,1),"источников "&amp;$M52&amp;" из "&amp;IF($C52="frame",2,1)&amp;"; ","")&amp;IF($U52=0,"нет строки в «Тексты»; ",IF(INDEX(Тексты!$C$1:$C$61,$U52)=0,"нет крючок EN; ",IF(OR(INDEX(Тексты!$C$1:$C$61,$U52)&lt;1,INDEX(Тексты!$C$1:$C$61,$U52)&gt;12),"крючок EN "&amp;INDEX(Тексты!$C$1:$C$61,$U52)&amp;" сл. (нужно 1–12); ",""))&amp;IF(INDEX(Тексты!$E$1:$E$61,$U52)=0,"нет крючок PT; ",IF(OR(INDEX(Тексты!$E$1:$E$61,$U52)&lt;1,INDEX(Тексты!$E$1:$E$61,$U52)&gt;12),"крючок PT "&amp;INDEX(Тексты!$E$1:$E$61,$U52)&amp;" сл. (нужно 1–12); ",""))&amp;IF(INDEX(Тексты!$O$1:$O$61,$U52)=0,"нет крючок RU; ",IF(OR(INDEX(Тексты!$O$1:$O$61,$U52)&lt;1,INDEX(Тексты!$O$1:$O$61,$U52)&gt;12),"крючок RU "&amp;INDEX(Тексты!$O$1:$O$61,$U52)&amp;" сл. (нужно 1–12); ",""))&amp;IF(INDEX(Тексты!$G$1:$G$61,$U52)=0,"нет история EN; ",IF(OR(INDEX(Тексты!$G$1:$G$61,$U52)&lt;40,INDEX(Тексты!$G$1:$G$61,$U52)&gt;90),"история EN "&amp;INDEX(Тексты!$G$1:$G$61,$U52)&amp;" сл. (нужно 40–90); ",""))&amp;IF(INDEX(Тексты!$I$1:$I$61,$U52)=0,"нет история PT; ",IF(OR(INDEX(Тексты!$I$1:$I$61,$U52)&lt;40,INDEX(Тексты!$I$1:$I$61,$U52)&gt;90),"история PT "&amp;INDEX(Тексты!$I$1:$I$61,$U52)&amp;" сл. (нужно 40–90); ",""))&amp;IF(INDEX(Тексты!$Q$1:$Q$61,$U52)=0,"нет история RU; ",IF(OR(INDEX(Тексты!$Q$1:$Q$61,$U52)&lt;40,INDEX(Тексты!$Q$1:$Q$61,$U52)&gt;90),"история RU "&amp;INDEX(Тексты!$Q$1:$Q$61,$U52)&amp;" сл. (нужно 40–90); ",""))&amp;IF(INDEX(Тексты!$K$1:$K$61,$U52)=0,"нет подробнее EN; ",IF(OR(INDEX(Тексты!$K$1:$K$61,$U52)&lt;1,INDEX(Тексты!$K$1:$K$61,$U52)&gt;250),"подробнее EN "&amp;INDEX(Тексты!$K$1:$K$61,$U52)&amp;" сл. (нужно 1–250); ",""))&amp;IF(INDEX(Тексты!$M$1:$M$61,$U52)=0,"нет подробнее PT; ",IF(OR(INDEX(Тексты!$M$1:$M$61,$U52)&lt;1,INDEX(Тексты!$M$1:$M$61,$U52)&gt;250),"подробнее PT "&amp;INDEX(Тексты!$M$1:$M$61,$U52)&amp;" сл. (нужно 1–250); ",""))&amp;IF(INDEX(Тексты!$S$1:$S$61,$U52)=0,"нет подробнее RU; ",IF(OR(INDEX(Тексты!$S$1:$S$61,$U52)&lt;1,INDEX(Тексты!$S$1:$S$61,$U52)&gt;250),"подробнее RU "&amp;INDEX(Тексты!$S$1:$S$61,$U52)&amp;" сл. (нужно 1–250); ","")))&amp;IF($V52=0,"нет строки в «Места»; ",IF(OR(INDEX(Места!$B$1:$B$61,$V52)="",INDEX(Места!$C$1:$C$61,$V52)="",INDEX(Места!$Q$1:$Q$61,$V52)=""),"нет названия EN/PT/RU; ","")&amp;IF(OR(INDEX(Места!$D$1:$D$61,$V52)="",INDEX(Места!$E$1:$E$61,$V52)="",INDEX(Места!$R$1:$R$61,$V52)=""),"нет slug EN/PT/RU; ","")&amp;IF(INDEX(Места!$K$1:$K$61,$V52)="","нет моста в сегодня; ","")&amp;IF(OR(INDEX(Места!$O$1:$O$61,$V52)="",INDEX(Места!$O$1:$O$61,$V52)="TODO"),"нет сайта моста; ","")&amp;IF(INDEX(Места!$P$1:$P$61,$V52)&lt;&gt;"да","координаты не проверены; ",""))&amp;IF(AND($L52="готово",OR($R52="",$S52="")),"нет рецензента/даты; ",""))</f>
        <v/>
      </c>
    </row>
    <row r="53" spans="1:23" ht="15" customHeight="1" x14ac:dyDescent="0.25">
      <c r="A53" s="12"/>
      <c r="B53" s="12"/>
      <c r="C53" s="19"/>
      <c r="D53" s="19"/>
      <c r="E53" s="12"/>
      <c r="F53" s="12"/>
      <c r="G53" s="12"/>
      <c r="H53" s="19"/>
      <c r="I53" s="19"/>
      <c r="J53" s="19"/>
      <c r="K53" s="19"/>
      <c r="L53" s="12"/>
      <c r="M53" s="20" t="str">
        <f>IF($A53="","",COUNTIFS(Источники!$A$2:$A$200,$A53,Источники!$G$2:$G$200,"нашли"))</f>
        <v/>
      </c>
      <c r="N53" s="21" t="str">
        <f t="shared" si="1"/>
        <v/>
      </c>
      <c r="O53" s="12"/>
      <c r="P53" s="12"/>
      <c r="Q53" s="12"/>
      <c r="R53" s="12"/>
      <c r="S53" s="12"/>
      <c r="T53" s="12"/>
      <c r="U53" s="22">
        <f>IF($A53="",0,IFERROR(MATCH($A53,Тексты!$A$1:$A$61,0),0))</f>
        <v>0</v>
      </c>
      <c r="V53" s="22">
        <f>IF($A53="",0,IFERROR(MATCH($A53,Места!$A$1:$A$61,0),0))</f>
        <v>0</v>
      </c>
      <c r="W53" s="22" t="str">
        <f>IF($A53="","",IF(COUNTIF($A$2:$A$61,$A53)&gt;1,"дубль id; ","")&amp;IF($B53="","нет эпохи; ","")&amp;IF($C53="","нет уровня; ","")&amp;IF($D53="","нет года; ","")&amp;IF($F53="","нет нити; ","")&amp;IF($H53="","нет важности; ","")&amp;IF($I53="","нет метки; ","")&amp;IF($J53="","нет возраста; ","")&amp;IF($K53="","не указана тяжёлая тема; ","")&amp;IF($M53&lt;IF($C53="frame",2,1),"источников "&amp;$M53&amp;" из "&amp;IF($C53="frame",2,1)&amp;"; ","")&amp;IF($U53=0,"нет строки в «Тексты»; ",IF(INDEX(Тексты!$C$1:$C$61,$U53)=0,"нет крючок EN; ",IF(OR(INDEX(Тексты!$C$1:$C$61,$U53)&lt;1,INDEX(Тексты!$C$1:$C$61,$U53)&gt;12),"крючок EN "&amp;INDEX(Тексты!$C$1:$C$61,$U53)&amp;" сл. (нужно 1–12); ",""))&amp;IF(INDEX(Тексты!$E$1:$E$61,$U53)=0,"нет крючок PT; ",IF(OR(INDEX(Тексты!$E$1:$E$61,$U53)&lt;1,INDEX(Тексты!$E$1:$E$61,$U53)&gt;12),"крючок PT "&amp;INDEX(Тексты!$E$1:$E$61,$U53)&amp;" сл. (нужно 1–12); ",""))&amp;IF(INDEX(Тексты!$O$1:$O$61,$U53)=0,"нет крючок RU; ",IF(OR(INDEX(Тексты!$O$1:$O$61,$U53)&lt;1,INDEX(Тексты!$O$1:$O$61,$U53)&gt;12),"крючок RU "&amp;INDEX(Тексты!$O$1:$O$61,$U53)&amp;" сл. (нужно 1–12); ",""))&amp;IF(INDEX(Тексты!$G$1:$G$61,$U53)=0,"нет история EN; ",IF(OR(INDEX(Тексты!$G$1:$G$61,$U53)&lt;40,INDEX(Тексты!$G$1:$G$61,$U53)&gt;90),"история EN "&amp;INDEX(Тексты!$G$1:$G$61,$U53)&amp;" сл. (нужно 40–90); ",""))&amp;IF(INDEX(Тексты!$I$1:$I$61,$U53)=0,"нет история PT; ",IF(OR(INDEX(Тексты!$I$1:$I$61,$U53)&lt;40,INDEX(Тексты!$I$1:$I$61,$U53)&gt;90),"история PT "&amp;INDEX(Тексты!$I$1:$I$61,$U53)&amp;" сл. (нужно 40–90); ",""))&amp;IF(INDEX(Тексты!$Q$1:$Q$61,$U53)=0,"нет история RU; ",IF(OR(INDEX(Тексты!$Q$1:$Q$61,$U53)&lt;40,INDEX(Тексты!$Q$1:$Q$61,$U53)&gt;90),"история RU "&amp;INDEX(Тексты!$Q$1:$Q$61,$U53)&amp;" сл. (нужно 40–90); ",""))&amp;IF(INDEX(Тексты!$K$1:$K$61,$U53)=0,"нет подробнее EN; ",IF(OR(INDEX(Тексты!$K$1:$K$61,$U53)&lt;1,INDEX(Тексты!$K$1:$K$61,$U53)&gt;250),"подробнее EN "&amp;INDEX(Тексты!$K$1:$K$61,$U53)&amp;" сл. (нужно 1–250); ",""))&amp;IF(INDEX(Тексты!$M$1:$M$61,$U53)=0,"нет подробнее PT; ",IF(OR(INDEX(Тексты!$M$1:$M$61,$U53)&lt;1,INDEX(Тексты!$M$1:$M$61,$U53)&gt;250),"подробнее PT "&amp;INDEX(Тексты!$M$1:$M$61,$U53)&amp;" сл. (нужно 1–250); ",""))&amp;IF(INDEX(Тексты!$S$1:$S$61,$U53)=0,"нет подробнее RU; ",IF(OR(INDEX(Тексты!$S$1:$S$61,$U53)&lt;1,INDEX(Тексты!$S$1:$S$61,$U53)&gt;250),"подробнее RU "&amp;INDEX(Тексты!$S$1:$S$61,$U53)&amp;" сл. (нужно 1–250); ","")))&amp;IF($V53=0,"нет строки в «Места»; ",IF(OR(INDEX(Места!$B$1:$B$61,$V53)="",INDEX(Места!$C$1:$C$61,$V53)="",INDEX(Места!$Q$1:$Q$61,$V53)=""),"нет названия EN/PT/RU; ","")&amp;IF(OR(INDEX(Места!$D$1:$D$61,$V53)="",INDEX(Места!$E$1:$E$61,$V53)="",INDEX(Места!$R$1:$R$61,$V53)=""),"нет slug EN/PT/RU; ","")&amp;IF(INDEX(Места!$K$1:$K$61,$V53)="","нет моста в сегодня; ","")&amp;IF(OR(INDEX(Места!$O$1:$O$61,$V53)="",INDEX(Места!$O$1:$O$61,$V53)="TODO"),"нет сайта моста; ","")&amp;IF(INDEX(Места!$P$1:$P$61,$V53)&lt;&gt;"да","координаты не проверены; ",""))&amp;IF(AND($L53="готово",OR($R53="",$S53="")),"нет рецензента/даты; ",""))</f>
        <v/>
      </c>
    </row>
    <row r="54" spans="1:23" ht="15" customHeight="1" x14ac:dyDescent="0.25">
      <c r="A54" s="12"/>
      <c r="B54" s="12"/>
      <c r="C54" s="19"/>
      <c r="D54" s="19"/>
      <c r="E54" s="12"/>
      <c r="F54" s="12"/>
      <c r="G54" s="12"/>
      <c r="H54" s="19"/>
      <c r="I54" s="19"/>
      <c r="J54" s="19"/>
      <c r="K54" s="19"/>
      <c r="L54" s="12"/>
      <c r="M54" s="20" t="str">
        <f>IF($A54="","",COUNTIFS(Источники!$A$2:$A$200,$A54,Источники!$G$2:$G$200,"нашли"))</f>
        <v/>
      </c>
      <c r="N54" s="21" t="str">
        <f t="shared" si="1"/>
        <v/>
      </c>
      <c r="O54" s="12"/>
      <c r="P54" s="12"/>
      <c r="Q54" s="12"/>
      <c r="R54" s="12"/>
      <c r="S54" s="12"/>
      <c r="T54" s="12"/>
      <c r="U54" s="22">
        <f>IF($A54="",0,IFERROR(MATCH($A54,Тексты!$A$1:$A$61,0),0))</f>
        <v>0</v>
      </c>
      <c r="V54" s="22">
        <f>IF($A54="",0,IFERROR(MATCH($A54,Места!$A$1:$A$61,0),0))</f>
        <v>0</v>
      </c>
      <c r="W54" s="22" t="str">
        <f>IF($A54="","",IF(COUNTIF($A$2:$A$61,$A54)&gt;1,"дубль id; ","")&amp;IF($B54="","нет эпохи; ","")&amp;IF($C54="","нет уровня; ","")&amp;IF($D54="","нет года; ","")&amp;IF($F54="","нет нити; ","")&amp;IF($H54="","нет важности; ","")&amp;IF($I54="","нет метки; ","")&amp;IF($J54="","нет возраста; ","")&amp;IF($K54="","не указана тяжёлая тема; ","")&amp;IF($M54&lt;IF($C54="frame",2,1),"источников "&amp;$M54&amp;" из "&amp;IF($C54="frame",2,1)&amp;"; ","")&amp;IF($U54=0,"нет строки в «Тексты»; ",IF(INDEX(Тексты!$C$1:$C$61,$U54)=0,"нет крючок EN; ",IF(OR(INDEX(Тексты!$C$1:$C$61,$U54)&lt;1,INDEX(Тексты!$C$1:$C$61,$U54)&gt;12),"крючок EN "&amp;INDEX(Тексты!$C$1:$C$61,$U54)&amp;" сл. (нужно 1–12); ",""))&amp;IF(INDEX(Тексты!$E$1:$E$61,$U54)=0,"нет крючок PT; ",IF(OR(INDEX(Тексты!$E$1:$E$61,$U54)&lt;1,INDEX(Тексты!$E$1:$E$61,$U54)&gt;12),"крючок PT "&amp;INDEX(Тексты!$E$1:$E$61,$U54)&amp;" сл. (нужно 1–12); ",""))&amp;IF(INDEX(Тексты!$O$1:$O$61,$U54)=0,"нет крючок RU; ",IF(OR(INDEX(Тексты!$O$1:$O$61,$U54)&lt;1,INDEX(Тексты!$O$1:$O$61,$U54)&gt;12),"крючок RU "&amp;INDEX(Тексты!$O$1:$O$61,$U54)&amp;" сл. (нужно 1–12); ",""))&amp;IF(INDEX(Тексты!$G$1:$G$61,$U54)=0,"нет история EN; ",IF(OR(INDEX(Тексты!$G$1:$G$61,$U54)&lt;40,INDEX(Тексты!$G$1:$G$61,$U54)&gt;90),"история EN "&amp;INDEX(Тексты!$G$1:$G$61,$U54)&amp;" сл. (нужно 40–90); ",""))&amp;IF(INDEX(Тексты!$I$1:$I$61,$U54)=0,"нет история PT; ",IF(OR(INDEX(Тексты!$I$1:$I$61,$U54)&lt;40,INDEX(Тексты!$I$1:$I$61,$U54)&gt;90),"история PT "&amp;INDEX(Тексты!$I$1:$I$61,$U54)&amp;" сл. (нужно 40–90); ",""))&amp;IF(INDEX(Тексты!$Q$1:$Q$61,$U54)=0,"нет история RU; ",IF(OR(INDEX(Тексты!$Q$1:$Q$61,$U54)&lt;40,INDEX(Тексты!$Q$1:$Q$61,$U54)&gt;90),"история RU "&amp;INDEX(Тексты!$Q$1:$Q$61,$U54)&amp;" сл. (нужно 40–90); ",""))&amp;IF(INDEX(Тексты!$K$1:$K$61,$U54)=0,"нет подробнее EN; ",IF(OR(INDEX(Тексты!$K$1:$K$61,$U54)&lt;1,INDEX(Тексты!$K$1:$K$61,$U54)&gt;250),"подробнее EN "&amp;INDEX(Тексты!$K$1:$K$61,$U54)&amp;" сл. (нужно 1–250); ",""))&amp;IF(INDEX(Тексты!$M$1:$M$61,$U54)=0,"нет подробнее PT; ",IF(OR(INDEX(Тексты!$M$1:$M$61,$U54)&lt;1,INDEX(Тексты!$M$1:$M$61,$U54)&gt;250),"подробнее PT "&amp;INDEX(Тексты!$M$1:$M$61,$U54)&amp;" сл. (нужно 1–250); ",""))&amp;IF(INDEX(Тексты!$S$1:$S$61,$U54)=0,"нет подробнее RU; ",IF(OR(INDEX(Тексты!$S$1:$S$61,$U54)&lt;1,INDEX(Тексты!$S$1:$S$61,$U54)&gt;250),"подробнее RU "&amp;INDEX(Тексты!$S$1:$S$61,$U54)&amp;" сл. (нужно 1–250); ","")))&amp;IF($V54=0,"нет строки в «Места»; ",IF(OR(INDEX(Места!$B$1:$B$61,$V54)="",INDEX(Места!$C$1:$C$61,$V54)="",INDEX(Места!$Q$1:$Q$61,$V54)=""),"нет названия EN/PT/RU; ","")&amp;IF(OR(INDEX(Места!$D$1:$D$61,$V54)="",INDEX(Места!$E$1:$E$61,$V54)="",INDEX(Места!$R$1:$R$61,$V54)=""),"нет slug EN/PT/RU; ","")&amp;IF(INDEX(Места!$K$1:$K$61,$V54)="","нет моста в сегодня; ","")&amp;IF(OR(INDEX(Места!$O$1:$O$61,$V54)="",INDEX(Места!$O$1:$O$61,$V54)="TODO"),"нет сайта моста; ","")&amp;IF(INDEX(Места!$P$1:$P$61,$V54)&lt;&gt;"да","координаты не проверены; ",""))&amp;IF(AND($L54="готово",OR($R54="",$S54="")),"нет рецензента/даты; ",""))</f>
        <v/>
      </c>
    </row>
    <row r="55" spans="1:23" ht="15" customHeight="1" x14ac:dyDescent="0.25">
      <c r="A55" s="12"/>
      <c r="B55" s="12"/>
      <c r="C55" s="19"/>
      <c r="D55" s="19"/>
      <c r="E55" s="12"/>
      <c r="F55" s="12"/>
      <c r="G55" s="12"/>
      <c r="H55" s="19"/>
      <c r="I55" s="19"/>
      <c r="J55" s="19"/>
      <c r="K55" s="19"/>
      <c r="L55" s="12"/>
      <c r="M55" s="20" t="str">
        <f>IF($A55="","",COUNTIFS(Источники!$A$2:$A$200,$A55,Источники!$G$2:$G$200,"нашли"))</f>
        <v/>
      </c>
      <c r="N55" s="21" t="str">
        <f t="shared" si="1"/>
        <v/>
      </c>
      <c r="O55" s="12"/>
      <c r="P55" s="12"/>
      <c r="Q55" s="12"/>
      <c r="R55" s="12"/>
      <c r="S55" s="12"/>
      <c r="T55" s="12"/>
      <c r="U55" s="22">
        <f>IF($A55="",0,IFERROR(MATCH($A55,Тексты!$A$1:$A$61,0),0))</f>
        <v>0</v>
      </c>
      <c r="V55" s="22">
        <f>IF($A55="",0,IFERROR(MATCH($A55,Места!$A$1:$A$61,0),0))</f>
        <v>0</v>
      </c>
      <c r="W55" s="22" t="str">
        <f>IF($A55="","",IF(COUNTIF($A$2:$A$61,$A55)&gt;1,"дубль id; ","")&amp;IF($B55="","нет эпохи; ","")&amp;IF($C55="","нет уровня; ","")&amp;IF($D55="","нет года; ","")&amp;IF($F55="","нет нити; ","")&amp;IF($H55="","нет важности; ","")&amp;IF($I55="","нет метки; ","")&amp;IF($J55="","нет возраста; ","")&amp;IF($K55="","не указана тяжёлая тема; ","")&amp;IF($M55&lt;IF($C55="frame",2,1),"источников "&amp;$M55&amp;" из "&amp;IF($C55="frame",2,1)&amp;"; ","")&amp;IF($U55=0,"нет строки в «Тексты»; ",IF(INDEX(Тексты!$C$1:$C$61,$U55)=0,"нет крючок EN; ",IF(OR(INDEX(Тексты!$C$1:$C$61,$U55)&lt;1,INDEX(Тексты!$C$1:$C$61,$U55)&gt;12),"крючок EN "&amp;INDEX(Тексты!$C$1:$C$61,$U55)&amp;" сл. (нужно 1–12); ",""))&amp;IF(INDEX(Тексты!$E$1:$E$61,$U55)=0,"нет крючок PT; ",IF(OR(INDEX(Тексты!$E$1:$E$61,$U55)&lt;1,INDEX(Тексты!$E$1:$E$61,$U55)&gt;12),"крючок PT "&amp;INDEX(Тексты!$E$1:$E$61,$U55)&amp;" сл. (нужно 1–12); ",""))&amp;IF(INDEX(Тексты!$O$1:$O$61,$U55)=0,"нет крючок RU; ",IF(OR(INDEX(Тексты!$O$1:$O$61,$U55)&lt;1,INDEX(Тексты!$O$1:$O$61,$U55)&gt;12),"крючок RU "&amp;INDEX(Тексты!$O$1:$O$61,$U55)&amp;" сл. (нужно 1–12); ",""))&amp;IF(INDEX(Тексты!$G$1:$G$61,$U55)=0,"нет история EN; ",IF(OR(INDEX(Тексты!$G$1:$G$61,$U55)&lt;40,INDEX(Тексты!$G$1:$G$61,$U55)&gt;90),"история EN "&amp;INDEX(Тексты!$G$1:$G$61,$U55)&amp;" сл. (нужно 40–90); ",""))&amp;IF(INDEX(Тексты!$I$1:$I$61,$U55)=0,"нет история PT; ",IF(OR(INDEX(Тексты!$I$1:$I$61,$U55)&lt;40,INDEX(Тексты!$I$1:$I$61,$U55)&gt;90),"история PT "&amp;INDEX(Тексты!$I$1:$I$61,$U55)&amp;" сл. (нужно 40–90); ",""))&amp;IF(INDEX(Тексты!$Q$1:$Q$61,$U55)=0,"нет история RU; ",IF(OR(INDEX(Тексты!$Q$1:$Q$61,$U55)&lt;40,INDEX(Тексты!$Q$1:$Q$61,$U55)&gt;90),"история RU "&amp;INDEX(Тексты!$Q$1:$Q$61,$U55)&amp;" сл. (нужно 40–90); ",""))&amp;IF(INDEX(Тексты!$K$1:$K$61,$U55)=0,"нет подробнее EN; ",IF(OR(INDEX(Тексты!$K$1:$K$61,$U55)&lt;1,INDEX(Тексты!$K$1:$K$61,$U55)&gt;250),"подробнее EN "&amp;INDEX(Тексты!$K$1:$K$61,$U55)&amp;" сл. (нужно 1–250); ",""))&amp;IF(INDEX(Тексты!$M$1:$M$61,$U55)=0,"нет подробнее PT; ",IF(OR(INDEX(Тексты!$M$1:$M$61,$U55)&lt;1,INDEX(Тексты!$M$1:$M$61,$U55)&gt;250),"подробнее PT "&amp;INDEX(Тексты!$M$1:$M$61,$U55)&amp;" сл. (нужно 1–250); ",""))&amp;IF(INDEX(Тексты!$S$1:$S$61,$U55)=0,"нет подробнее RU; ",IF(OR(INDEX(Тексты!$S$1:$S$61,$U55)&lt;1,INDEX(Тексты!$S$1:$S$61,$U55)&gt;250),"подробнее RU "&amp;INDEX(Тексты!$S$1:$S$61,$U55)&amp;" сл. (нужно 1–250); ","")))&amp;IF($V55=0,"нет строки в «Места»; ",IF(OR(INDEX(Места!$B$1:$B$61,$V55)="",INDEX(Места!$C$1:$C$61,$V55)="",INDEX(Места!$Q$1:$Q$61,$V55)=""),"нет названия EN/PT/RU; ","")&amp;IF(OR(INDEX(Места!$D$1:$D$61,$V55)="",INDEX(Места!$E$1:$E$61,$V55)="",INDEX(Места!$R$1:$R$61,$V55)=""),"нет slug EN/PT/RU; ","")&amp;IF(INDEX(Места!$K$1:$K$61,$V55)="","нет моста в сегодня; ","")&amp;IF(OR(INDEX(Места!$O$1:$O$61,$V55)="",INDEX(Места!$O$1:$O$61,$V55)="TODO"),"нет сайта моста; ","")&amp;IF(INDEX(Места!$P$1:$P$61,$V55)&lt;&gt;"да","координаты не проверены; ",""))&amp;IF(AND($L55="готово",OR($R55="",$S55="")),"нет рецензента/даты; ",""))</f>
        <v/>
      </c>
    </row>
    <row r="56" spans="1:23" ht="15" customHeight="1" x14ac:dyDescent="0.25">
      <c r="A56" s="12"/>
      <c r="B56" s="12"/>
      <c r="C56" s="19"/>
      <c r="D56" s="19"/>
      <c r="E56" s="12"/>
      <c r="F56" s="12"/>
      <c r="G56" s="12"/>
      <c r="H56" s="19"/>
      <c r="I56" s="19"/>
      <c r="J56" s="19"/>
      <c r="K56" s="19"/>
      <c r="L56" s="12"/>
      <c r="M56" s="20" t="str">
        <f>IF($A56="","",COUNTIFS(Источники!$A$2:$A$200,$A56,Источники!$G$2:$G$200,"нашли"))</f>
        <v/>
      </c>
      <c r="N56" s="21" t="str">
        <f t="shared" si="1"/>
        <v/>
      </c>
      <c r="O56" s="12"/>
      <c r="P56" s="12"/>
      <c r="Q56" s="12"/>
      <c r="R56" s="12"/>
      <c r="S56" s="12"/>
      <c r="T56" s="12"/>
      <c r="U56" s="22">
        <f>IF($A56="",0,IFERROR(MATCH($A56,Тексты!$A$1:$A$61,0),0))</f>
        <v>0</v>
      </c>
      <c r="V56" s="22">
        <f>IF($A56="",0,IFERROR(MATCH($A56,Места!$A$1:$A$61,0),0))</f>
        <v>0</v>
      </c>
      <c r="W56" s="22" t="str">
        <f>IF($A56="","",IF(COUNTIF($A$2:$A$61,$A56)&gt;1,"дубль id; ","")&amp;IF($B56="","нет эпохи; ","")&amp;IF($C56="","нет уровня; ","")&amp;IF($D56="","нет года; ","")&amp;IF($F56="","нет нити; ","")&amp;IF($H56="","нет важности; ","")&amp;IF($I56="","нет метки; ","")&amp;IF($J56="","нет возраста; ","")&amp;IF($K56="","не указана тяжёлая тема; ","")&amp;IF($M56&lt;IF($C56="frame",2,1),"источников "&amp;$M56&amp;" из "&amp;IF($C56="frame",2,1)&amp;"; ","")&amp;IF($U56=0,"нет строки в «Тексты»; ",IF(INDEX(Тексты!$C$1:$C$61,$U56)=0,"нет крючок EN; ",IF(OR(INDEX(Тексты!$C$1:$C$61,$U56)&lt;1,INDEX(Тексты!$C$1:$C$61,$U56)&gt;12),"крючок EN "&amp;INDEX(Тексты!$C$1:$C$61,$U56)&amp;" сл. (нужно 1–12); ",""))&amp;IF(INDEX(Тексты!$E$1:$E$61,$U56)=0,"нет крючок PT; ",IF(OR(INDEX(Тексты!$E$1:$E$61,$U56)&lt;1,INDEX(Тексты!$E$1:$E$61,$U56)&gt;12),"крючок PT "&amp;INDEX(Тексты!$E$1:$E$61,$U56)&amp;" сл. (нужно 1–12); ",""))&amp;IF(INDEX(Тексты!$O$1:$O$61,$U56)=0,"нет крючок RU; ",IF(OR(INDEX(Тексты!$O$1:$O$61,$U56)&lt;1,INDEX(Тексты!$O$1:$O$61,$U56)&gt;12),"крючок RU "&amp;INDEX(Тексты!$O$1:$O$61,$U56)&amp;" сл. (нужно 1–12); ",""))&amp;IF(INDEX(Тексты!$G$1:$G$61,$U56)=0,"нет история EN; ",IF(OR(INDEX(Тексты!$G$1:$G$61,$U56)&lt;40,INDEX(Тексты!$G$1:$G$61,$U56)&gt;90),"история EN "&amp;INDEX(Тексты!$G$1:$G$61,$U56)&amp;" сл. (нужно 40–90); ",""))&amp;IF(INDEX(Тексты!$I$1:$I$61,$U56)=0,"нет история PT; ",IF(OR(INDEX(Тексты!$I$1:$I$61,$U56)&lt;40,INDEX(Тексты!$I$1:$I$61,$U56)&gt;90),"история PT "&amp;INDEX(Тексты!$I$1:$I$61,$U56)&amp;" сл. (нужно 40–90); ",""))&amp;IF(INDEX(Тексты!$Q$1:$Q$61,$U56)=0,"нет история RU; ",IF(OR(INDEX(Тексты!$Q$1:$Q$61,$U56)&lt;40,INDEX(Тексты!$Q$1:$Q$61,$U56)&gt;90),"история RU "&amp;INDEX(Тексты!$Q$1:$Q$61,$U56)&amp;" сл. (нужно 40–90); ",""))&amp;IF(INDEX(Тексты!$K$1:$K$61,$U56)=0,"нет подробнее EN; ",IF(OR(INDEX(Тексты!$K$1:$K$61,$U56)&lt;1,INDEX(Тексты!$K$1:$K$61,$U56)&gt;250),"подробнее EN "&amp;INDEX(Тексты!$K$1:$K$61,$U56)&amp;" сл. (нужно 1–250); ",""))&amp;IF(INDEX(Тексты!$M$1:$M$61,$U56)=0,"нет подробнее PT; ",IF(OR(INDEX(Тексты!$M$1:$M$61,$U56)&lt;1,INDEX(Тексты!$M$1:$M$61,$U56)&gt;250),"подробнее PT "&amp;INDEX(Тексты!$M$1:$M$61,$U56)&amp;" сл. (нужно 1–250); ",""))&amp;IF(INDEX(Тексты!$S$1:$S$61,$U56)=0,"нет подробнее RU; ",IF(OR(INDEX(Тексты!$S$1:$S$61,$U56)&lt;1,INDEX(Тексты!$S$1:$S$61,$U56)&gt;250),"подробнее RU "&amp;INDEX(Тексты!$S$1:$S$61,$U56)&amp;" сл. (нужно 1–250); ","")))&amp;IF($V56=0,"нет строки в «Места»; ",IF(OR(INDEX(Места!$B$1:$B$61,$V56)="",INDEX(Места!$C$1:$C$61,$V56)="",INDEX(Места!$Q$1:$Q$61,$V56)=""),"нет названия EN/PT/RU; ","")&amp;IF(OR(INDEX(Места!$D$1:$D$61,$V56)="",INDEX(Места!$E$1:$E$61,$V56)="",INDEX(Места!$R$1:$R$61,$V56)=""),"нет slug EN/PT/RU; ","")&amp;IF(INDEX(Места!$K$1:$K$61,$V56)="","нет моста в сегодня; ","")&amp;IF(OR(INDEX(Места!$O$1:$O$61,$V56)="",INDEX(Места!$O$1:$O$61,$V56)="TODO"),"нет сайта моста; ","")&amp;IF(INDEX(Места!$P$1:$P$61,$V56)&lt;&gt;"да","координаты не проверены; ",""))&amp;IF(AND($L56="готово",OR($R56="",$S56="")),"нет рецензента/даты; ",""))</f>
        <v/>
      </c>
    </row>
    <row r="57" spans="1:23" ht="15" customHeight="1" x14ac:dyDescent="0.25">
      <c r="A57" s="12"/>
      <c r="B57" s="12"/>
      <c r="C57" s="19"/>
      <c r="D57" s="19"/>
      <c r="E57" s="12"/>
      <c r="F57" s="12"/>
      <c r="G57" s="12"/>
      <c r="H57" s="19"/>
      <c r="I57" s="19"/>
      <c r="J57" s="19"/>
      <c r="K57" s="19"/>
      <c r="L57" s="12"/>
      <c r="M57" s="20" t="str">
        <f>IF($A57="","",COUNTIFS(Источники!$A$2:$A$200,$A57,Источники!$G$2:$G$200,"нашли"))</f>
        <v/>
      </c>
      <c r="N57" s="21" t="str">
        <f t="shared" si="1"/>
        <v/>
      </c>
      <c r="O57" s="12"/>
      <c r="P57" s="12"/>
      <c r="Q57" s="12"/>
      <c r="R57" s="12"/>
      <c r="S57" s="12"/>
      <c r="T57" s="12"/>
      <c r="U57" s="22">
        <f>IF($A57="",0,IFERROR(MATCH($A57,Тексты!$A$1:$A$61,0),0))</f>
        <v>0</v>
      </c>
      <c r="V57" s="22">
        <f>IF($A57="",0,IFERROR(MATCH($A57,Места!$A$1:$A$61,0),0))</f>
        <v>0</v>
      </c>
      <c r="W57" s="22" t="str">
        <f>IF($A57="","",IF(COUNTIF($A$2:$A$61,$A57)&gt;1,"дубль id; ","")&amp;IF($B57="","нет эпохи; ","")&amp;IF($C57="","нет уровня; ","")&amp;IF($D57="","нет года; ","")&amp;IF($F57="","нет нити; ","")&amp;IF($H57="","нет важности; ","")&amp;IF($I57="","нет метки; ","")&amp;IF($J57="","нет возраста; ","")&amp;IF($K57="","не указана тяжёлая тема; ","")&amp;IF($M57&lt;IF($C57="frame",2,1),"источников "&amp;$M57&amp;" из "&amp;IF($C57="frame",2,1)&amp;"; ","")&amp;IF($U57=0,"нет строки в «Тексты»; ",IF(INDEX(Тексты!$C$1:$C$61,$U57)=0,"нет крючок EN; ",IF(OR(INDEX(Тексты!$C$1:$C$61,$U57)&lt;1,INDEX(Тексты!$C$1:$C$61,$U57)&gt;12),"крючок EN "&amp;INDEX(Тексты!$C$1:$C$61,$U57)&amp;" сл. (нужно 1–12); ",""))&amp;IF(INDEX(Тексты!$E$1:$E$61,$U57)=0,"нет крючок PT; ",IF(OR(INDEX(Тексты!$E$1:$E$61,$U57)&lt;1,INDEX(Тексты!$E$1:$E$61,$U57)&gt;12),"крючок PT "&amp;INDEX(Тексты!$E$1:$E$61,$U57)&amp;" сл. (нужно 1–12); ",""))&amp;IF(INDEX(Тексты!$O$1:$O$61,$U57)=0,"нет крючок RU; ",IF(OR(INDEX(Тексты!$O$1:$O$61,$U57)&lt;1,INDEX(Тексты!$O$1:$O$61,$U57)&gt;12),"крючок RU "&amp;INDEX(Тексты!$O$1:$O$61,$U57)&amp;" сл. (нужно 1–12); ",""))&amp;IF(INDEX(Тексты!$G$1:$G$61,$U57)=0,"нет история EN; ",IF(OR(INDEX(Тексты!$G$1:$G$61,$U57)&lt;40,INDEX(Тексты!$G$1:$G$61,$U57)&gt;90),"история EN "&amp;INDEX(Тексты!$G$1:$G$61,$U57)&amp;" сл. (нужно 40–90); ",""))&amp;IF(INDEX(Тексты!$I$1:$I$61,$U57)=0,"нет история PT; ",IF(OR(INDEX(Тексты!$I$1:$I$61,$U57)&lt;40,INDEX(Тексты!$I$1:$I$61,$U57)&gt;90),"история PT "&amp;INDEX(Тексты!$I$1:$I$61,$U57)&amp;" сл. (нужно 40–90); ",""))&amp;IF(INDEX(Тексты!$Q$1:$Q$61,$U57)=0,"нет история RU; ",IF(OR(INDEX(Тексты!$Q$1:$Q$61,$U57)&lt;40,INDEX(Тексты!$Q$1:$Q$61,$U57)&gt;90),"история RU "&amp;INDEX(Тексты!$Q$1:$Q$61,$U57)&amp;" сл. (нужно 40–90); ",""))&amp;IF(INDEX(Тексты!$K$1:$K$61,$U57)=0,"нет подробнее EN; ",IF(OR(INDEX(Тексты!$K$1:$K$61,$U57)&lt;1,INDEX(Тексты!$K$1:$K$61,$U57)&gt;250),"подробнее EN "&amp;INDEX(Тексты!$K$1:$K$61,$U57)&amp;" сл. (нужно 1–250); ",""))&amp;IF(INDEX(Тексты!$M$1:$M$61,$U57)=0,"нет подробнее PT; ",IF(OR(INDEX(Тексты!$M$1:$M$61,$U57)&lt;1,INDEX(Тексты!$M$1:$M$61,$U57)&gt;250),"подробнее PT "&amp;INDEX(Тексты!$M$1:$M$61,$U57)&amp;" сл. (нужно 1–250); ",""))&amp;IF(INDEX(Тексты!$S$1:$S$61,$U57)=0,"нет подробнее RU; ",IF(OR(INDEX(Тексты!$S$1:$S$61,$U57)&lt;1,INDEX(Тексты!$S$1:$S$61,$U57)&gt;250),"подробнее RU "&amp;INDEX(Тексты!$S$1:$S$61,$U57)&amp;" сл. (нужно 1–250); ","")))&amp;IF($V57=0,"нет строки в «Места»; ",IF(OR(INDEX(Места!$B$1:$B$61,$V57)="",INDEX(Места!$C$1:$C$61,$V57)="",INDEX(Места!$Q$1:$Q$61,$V57)=""),"нет названия EN/PT/RU; ","")&amp;IF(OR(INDEX(Места!$D$1:$D$61,$V57)="",INDEX(Места!$E$1:$E$61,$V57)="",INDEX(Места!$R$1:$R$61,$V57)=""),"нет slug EN/PT/RU; ","")&amp;IF(INDEX(Места!$K$1:$K$61,$V57)="","нет моста в сегодня; ","")&amp;IF(OR(INDEX(Места!$O$1:$O$61,$V57)="",INDEX(Места!$O$1:$O$61,$V57)="TODO"),"нет сайта моста; ","")&amp;IF(INDEX(Места!$P$1:$P$61,$V57)&lt;&gt;"да","координаты не проверены; ",""))&amp;IF(AND($L57="готово",OR($R57="",$S57="")),"нет рецензента/даты; ",""))</f>
        <v/>
      </c>
    </row>
    <row r="58" spans="1:23" ht="15" customHeight="1" x14ac:dyDescent="0.25">
      <c r="A58" s="12"/>
      <c r="B58" s="12"/>
      <c r="C58" s="19"/>
      <c r="D58" s="19"/>
      <c r="E58" s="12"/>
      <c r="F58" s="12"/>
      <c r="G58" s="12"/>
      <c r="H58" s="19"/>
      <c r="I58" s="19"/>
      <c r="J58" s="19"/>
      <c r="K58" s="19"/>
      <c r="L58" s="12"/>
      <c r="M58" s="20" t="str">
        <f>IF($A58="","",COUNTIFS(Источники!$A$2:$A$200,$A58,Источники!$G$2:$G$200,"нашли"))</f>
        <v/>
      </c>
      <c r="N58" s="21" t="str">
        <f t="shared" si="1"/>
        <v/>
      </c>
      <c r="O58" s="12"/>
      <c r="P58" s="12"/>
      <c r="Q58" s="12"/>
      <c r="R58" s="12"/>
      <c r="S58" s="12"/>
      <c r="T58" s="12"/>
      <c r="U58" s="22">
        <f>IF($A58="",0,IFERROR(MATCH($A58,Тексты!$A$1:$A$61,0),0))</f>
        <v>0</v>
      </c>
      <c r="V58" s="22">
        <f>IF($A58="",0,IFERROR(MATCH($A58,Места!$A$1:$A$61,0),0))</f>
        <v>0</v>
      </c>
      <c r="W58" s="22" t="str">
        <f>IF($A58="","",IF(COUNTIF($A$2:$A$61,$A58)&gt;1,"дубль id; ","")&amp;IF($B58="","нет эпохи; ","")&amp;IF($C58="","нет уровня; ","")&amp;IF($D58="","нет года; ","")&amp;IF($F58="","нет нити; ","")&amp;IF($H58="","нет важности; ","")&amp;IF($I58="","нет метки; ","")&amp;IF($J58="","нет возраста; ","")&amp;IF($K58="","не указана тяжёлая тема; ","")&amp;IF($M58&lt;IF($C58="frame",2,1),"источников "&amp;$M58&amp;" из "&amp;IF($C58="frame",2,1)&amp;"; ","")&amp;IF($U58=0,"нет строки в «Тексты»; ",IF(INDEX(Тексты!$C$1:$C$61,$U58)=0,"нет крючок EN; ",IF(OR(INDEX(Тексты!$C$1:$C$61,$U58)&lt;1,INDEX(Тексты!$C$1:$C$61,$U58)&gt;12),"крючок EN "&amp;INDEX(Тексты!$C$1:$C$61,$U58)&amp;" сл. (нужно 1–12); ",""))&amp;IF(INDEX(Тексты!$E$1:$E$61,$U58)=0,"нет крючок PT; ",IF(OR(INDEX(Тексты!$E$1:$E$61,$U58)&lt;1,INDEX(Тексты!$E$1:$E$61,$U58)&gt;12),"крючок PT "&amp;INDEX(Тексты!$E$1:$E$61,$U58)&amp;" сл. (нужно 1–12); ",""))&amp;IF(INDEX(Тексты!$O$1:$O$61,$U58)=0,"нет крючок RU; ",IF(OR(INDEX(Тексты!$O$1:$O$61,$U58)&lt;1,INDEX(Тексты!$O$1:$O$61,$U58)&gt;12),"крючок RU "&amp;INDEX(Тексты!$O$1:$O$61,$U58)&amp;" сл. (нужно 1–12); ",""))&amp;IF(INDEX(Тексты!$G$1:$G$61,$U58)=0,"нет история EN; ",IF(OR(INDEX(Тексты!$G$1:$G$61,$U58)&lt;40,INDEX(Тексты!$G$1:$G$61,$U58)&gt;90),"история EN "&amp;INDEX(Тексты!$G$1:$G$61,$U58)&amp;" сл. (нужно 40–90); ",""))&amp;IF(INDEX(Тексты!$I$1:$I$61,$U58)=0,"нет история PT; ",IF(OR(INDEX(Тексты!$I$1:$I$61,$U58)&lt;40,INDEX(Тексты!$I$1:$I$61,$U58)&gt;90),"история PT "&amp;INDEX(Тексты!$I$1:$I$61,$U58)&amp;" сл. (нужно 40–90); ",""))&amp;IF(INDEX(Тексты!$Q$1:$Q$61,$U58)=0,"нет история RU; ",IF(OR(INDEX(Тексты!$Q$1:$Q$61,$U58)&lt;40,INDEX(Тексты!$Q$1:$Q$61,$U58)&gt;90),"история RU "&amp;INDEX(Тексты!$Q$1:$Q$61,$U58)&amp;" сл. (нужно 40–90); ",""))&amp;IF(INDEX(Тексты!$K$1:$K$61,$U58)=0,"нет подробнее EN; ",IF(OR(INDEX(Тексты!$K$1:$K$61,$U58)&lt;1,INDEX(Тексты!$K$1:$K$61,$U58)&gt;250),"подробнее EN "&amp;INDEX(Тексты!$K$1:$K$61,$U58)&amp;" сл. (нужно 1–250); ",""))&amp;IF(INDEX(Тексты!$M$1:$M$61,$U58)=0,"нет подробнее PT; ",IF(OR(INDEX(Тексты!$M$1:$M$61,$U58)&lt;1,INDEX(Тексты!$M$1:$M$61,$U58)&gt;250),"подробнее PT "&amp;INDEX(Тексты!$M$1:$M$61,$U58)&amp;" сл. (нужно 1–250); ",""))&amp;IF(INDEX(Тексты!$S$1:$S$61,$U58)=0,"нет подробнее RU; ",IF(OR(INDEX(Тексты!$S$1:$S$61,$U58)&lt;1,INDEX(Тексты!$S$1:$S$61,$U58)&gt;250),"подробнее RU "&amp;INDEX(Тексты!$S$1:$S$61,$U58)&amp;" сл. (нужно 1–250); ","")))&amp;IF($V58=0,"нет строки в «Места»; ",IF(OR(INDEX(Места!$B$1:$B$61,$V58)="",INDEX(Места!$C$1:$C$61,$V58)="",INDEX(Места!$Q$1:$Q$61,$V58)=""),"нет названия EN/PT/RU; ","")&amp;IF(OR(INDEX(Места!$D$1:$D$61,$V58)="",INDEX(Места!$E$1:$E$61,$V58)="",INDEX(Места!$R$1:$R$61,$V58)=""),"нет slug EN/PT/RU; ","")&amp;IF(INDEX(Места!$K$1:$K$61,$V58)="","нет моста в сегодня; ","")&amp;IF(OR(INDEX(Места!$O$1:$O$61,$V58)="",INDEX(Места!$O$1:$O$61,$V58)="TODO"),"нет сайта моста; ","")&amp;IF(INDEX(Места!$P$1:$P$61,$V58)&lt;&gt;"да","координаты не проверены; ",""))&amp;IF(AND($L58="готово",OR($R58="",$S58="")),"нет рецензента/даты; ",""))</f>
        <v/>
      </c>
    </row>
    <row r="59" spans="1:23" ht="15" customHeight="1" x14ac:dyDescent="0.25">
      <c r="A59" s="12"/>
      <c r="B59" s="12"/>
      <c r="C59" s="19"/>
      <c r="D59" s="19"/>
      <c r="E59" s="12"/>
      <c r="F59" s="12"/>
      <c r="G59" s="12"/>
      <c r="H59" s="19"/>
      <c r="I59" s="19"/>
      <c r="J59" s="19"/>
      <c r="K59" s="19"/>
      <c r="L59" s="12"/>
      <c r="M59" s="20" t="str">
        <f>IF($A59="","",COUNTIFS(Источники!$A$2:$A$200,$A59,Источники!$G$2:$G$200,"нашли"))</f>
        <v/>
      </c>
      <c r="N59" s="21" t="str">
        <f t="shared" si="1"/>
        <v/>
      </c>
      <c r="O59" s="12"/>
      <c r="P59" s="12"/>
      <c r="Q59" s="12"/>
      <c r="R59" s="12"/>
      <c r="S59" s="12"/>
      <c r="T59" s="12"/>
      <c r="U59" s="22">
        <f>IF($A59="",0,IFERROR(MATCH($A59,Тексты!$A$1:$A$61,0),0))</f>
        <v>0</v>
      </c>
      <c r="V59" s="22">
        <f>IF($A59="",0,IFERROR(MATCH($A59,Места!$A$1:$A$61,0),0))</f>
        <v>0</v>
      </c>
      <c r="W59" s="22" t="str">
        <f>IF($A59="","",IF(COUNTIF($A$2:$A$61,$A59)&gt;1,"дубль id; ","")&amp;IF($B59="","нет эпохи; ","")&amp;IF($C59="","нет уровня; ","")&amp;IF($D59="","нет года; ","")&amp;IF($F59="","нет нити; ","")&amp;IF($H59="","нет важности; ","")&amp;IF($I59="","нет метки; ","")&amp;IF($J59="","нет возраста; ","")&amp;IF($K59="","не указана тяжёлая тема; ","")&amp;IF($M59&lt;IF($C59="frame",2,1),"источников "&amp;$M59&amp;" из "&amp;IF($C59="frame",2,1)&amp;"; ","")&amp;IF($U59=0,"нет строки в «Тексты»; ",IF(INDEX(Тексты!$C$1:$C$61,$U59)=0,"нет крючок EN; ",IF(OR(INDEX(Тексты!$C$1:$C$61,$U59)&lt;1,INDEX(Тексты!$C$1:$C$61,$U59)&gt;12),"крючок EN "&amp;INDEX(Тексты!$C$1:$C$61,$U59)&amp;" сл. (нужно 1–12); ",""))&amp;IF(INDEX(Тексты!$E$1:$E$61,$U59)=0,"нет крючок PT; ",IF(OR(INDEX(Тексты!$E$1:$E$61,$U59)&lt;1,INDEX(Тексты!$E$1:$E$61,$U59)&gt;12),"крючок PT "&amp;INDEX(Тексты!$E$1:$E$61,$U59)&amp;" сл. (нужно 1–12); ",""))&amp;IF(INDEX(Тексты!$O$1:$O$61,$U59)=0,"нет крючок RU; ",IF(OR(INDEX(Тексты!$O$1:$O$61,$U59)&lt;1,INDEX(Тексты!$O$1:$O$61,$U59)&gt;12),"крючок RU "&amp;INDEX(Тексты!$O$1:$O$61,$U59)&amp;" сл. (нужно 1–12); ",""))&amp;IF(INDEX(Тексты!$G$1:$G$61,$U59)=0,"нет история EN; ",IF(OR(INDEX(Тексты!$G$1:$G$61,$U59)&lt;40,INDEX(Тексты!$G$1:$G$61,$U59)&gt;90),"история EN "&amp;INDEX(Тексты!$G$1:$G$61,$U59)&amp;" сл. (нужно 40–90); ",""))&amp;IF(INDEX(Тексты!$I$1:$I$61,$U59)=0,"нет история PT; ",IF(OR(INDEX(Тексты!$I$1:$I$61,$U59)&lt;40,INDEX(Тексты!$I$1:$I$61,$U59)&gt;90),"история PT "&amp;INDEX(Тексты!$I$1:$I$61,$U59)&amp;" сл. (нужно 40–90); ",""))&amp;IF(INDEX(Тексты!$Q$1:$Q$61,$U59)=0,"нет история RU; ",IF(OR(INDEX(Тексты!$Q$1:$Q$61,$U59)&lt;40,INDEX(Тексты!$Q$1:$Q$61,$U59)&gt;90),"история RU "&amp;INDEX(Тексты!$Q$1:$Q$61,$U59)&amp;" сл. (нужно 40–90); ",""))&amp;IF(INDEX(Тексты!$K$1:$K$61,$U59)=0,"нет подробнее EN; ",IF(OR(INDEX(Тексты!$K$1:$K$61,$U59)&lt;1,INDEX(Тексты!$K$1:$K$61,$U59)&gt;250),"подробнее EN "&amp;INDEX(Тексты!$K$1:$K$61,$U59)&amp;" сл. (нужно 1–250); ",""))&amp;IF(INDEX(Тексты!$M$1:$M$61,$U59)=0,"нет подробнее PT; ",IF(OR(INDEX(Тексты!$M$1:$M$61,$U59)&lt;1,INDEX(Тексты!$M$1:$M$61,$U59)&gt;250),"подробнее PT "&amp;INDEX(Тексты!$M$1:$M$61,$U59)&amp;" сл. (нужно 1–250); ",""))&amp;IF(INDEX(Тексты!$S$1:$S$61,$U59)=0,"нет подробнее RU; ",IF(OR(INDEX(Тексты!$S$1:$S$61,$U59)&lt;1,INDEX(Тексты!$S$1:$S$61,$U59)&gt;250),"подробнее RU "&amp;INDEX(Тексты!$S$1:$S$61,$U59)&amp;" сл. (нужно 1–250); ","")))&amp;IF($V59=0,"нет строки в «Места»; ",IF(OR(INDEX(Места!$B$1:$B$61,$V59)="",INDEX(Места!$C$1:$C$61,$V59)="",INDEX(Места!$Q$1:$Q$61,$V59)=""),"нет названия EN/PT/RU; ","")&amp;IF(OR(INDEX(Места!$D$1:$D$61,$V59)="",INDEX(Места!$E$1:$E$61,$V59)="",INDEX(Места!$R$1:$R$61,$V59)=""),"нет slug EN/PT/RU; ","")&amp;IF(INDEX(Места!$K$1:$K$61,$V59)="","нет моста в сегодня; ","")&amp;IF(OR(INDEX(Места!$O$1:$O$61,$V59)="",INDEX(Места!$O$1:$O$61,$V59)="TODO"),"нет сайта моста; ","")&amp;IF(INDEX(Места!$P$1:$P$61,$V59)&lt;&gt;"да","координаты не проверены; ",""))&amp;IF(AND($L59="готово",OR($R59="",$S59="")),"нет рецензента/даты; ",""))</f>
        <v/>
      </c>
    </row>
    <row r="60" spans="1:23" ht="15" customHeight="1" x14ac:dyDescent="0.25">
      <c r="A60" s="12"/>
      <c r="B60" s="12"/>
      <c r="C60" s="19"/>
      <c r="D60" s="19"/>
      <c r="E60" s="12"/>
      <c r="F60" s="12"/>
      <c r="G60" s="12"/>
      <c r="H60" s="19"/>
      <c r="I60" s="19"/>
      <c r="J60" s="19"/>
      <c r="K60" s="19"/>
      <c r="L60" s="12"/>
      <c r="M60" s="20" t="str">
        <f>IF($A60="","",COUNTIFS(Источники!$A$2:$A$200,$A60,Источники!$G$2:$G$200,"нашли"))</f>
        <v/>
      </c>
      <c r="N60" s="21" t="str">
        <f t="shared" si="1"/>
        <v/>
      </c>
      <c r="O60" s="12"/>
      <c r="P60" s="12"/>
      <c r="Q60" s="12"/>
      <c r="R60" s="12"/>
      <c r="S60" s="12"/>
      <c r="T60" s="12"/>
      <c r="U60" s="22">
        <f>IF($A60="",0,IFERROR(MATCH($A60,Тексты!$A$1:$A$61,0),0))</f>
        <v>0</v>
      </c>
      <c r="V60" s="22">
        <f>IF($A60="",0,IFERROR(MATCH($A60,Места!$A$1:$A$61,0),0))</f>
        <v>0</v>
      </c>
      <c r="W60" s="22" t="str">
        <f>IF($A60="","",IF(COUNTIF($A$2:$A$61,$A60)&gt;1,"дубль id; ","")&amp;IF($B60="","нет эпохи; ","")&amp;IF($C60="","нет уровня; ","")&amp;IF($D60="","нет года; ","")&amp;IF($F60="","нет нити; ","")&amp;IF($H60="","нет важности; ","")&amp;IF($I60="","нет метки; ","")&amp;IF($J60="","нет возраста; ","")&amp;IF($K60="","не указана тяжёлая тема; ","")&amp;IF($M60&lt;IF($C60="frame",2,1),"источников "&amp;$M60&amp;" из "&amp;IF($C60="frame",2,1)&amp;"; ","")&amp;IF($U60=0,"нет строки в «Тексты»; ",IF(INDEX(Тексты!$C$1:$C$61,$U60)=0,"нет крючок EN; ",IF(OR(INDEX(Тексты!$C$1:$C$61,$U60)&lt;1,INDEX(Тексты!$C$1:$C$61,$U60)&gt;12),"крючок EN "&amp;INDEX(Тексты!$C$1:$C$61,$U60)&amp;" сл. (нужно 1–12); ",""))&amp;IF(INDEX(Тексты!$E$1:$E$61,$U60)=0,"нет крючок PT; ",IF(OR(INDEX(Тексты!$E$1:$E$61,$U60)&lt;1,INDEX(Тексты!$E$1:$E$61,$U60)&gt;12),"крючок PT "&amp;INDEX(Тексты!$E$1:$E$61,$U60)&amp;" сл. (нужно 1–12); ",""))&amp;IF(INDEX(Тексты!$O$1:$O$61,$U60)=0,"нет крючок RU; ",IF(OR(INDEX(Тексты!$O$1:$O$61,$U60)&lt;1,INDEX(Тексты!$O$1:$O$61,$U60)&gt;12),"крючок RU "&amp;INDEX(Тексты!$O$1:$O$61,$U60)&amp;" сл. (нужно 1–12); ",""))&amp;IF(INDEX(Тексты!$G$1:$G$61,$U60)=0,"нет история EN; ",IF(OR(INDEX(Тексты!$G$1:$G$61,$U60)&lt;40,INDEX(Тексты!$G$1:$G$61,$U60)&gt;90),"история EN "&amp;INDEX(Тексты!$G$1:$G$61,$U60)&amp;" сл. (нужно 40–90); ",""))&amp;IF(INDEX(Тексты!$I$1:$I$61,$U60)=0,"нет история PT; ",IF(OR(INDEX(Тексты!$I$1:$I$61,$U60)&lt;40,INDEX(Тексты!$I$1:$I$61,$U60)&gt;90),"история PT "&amp;INDEX(Тексты!$I$1:$I$61,$U60)&amp;" сл. (нужно 40–90); ",""))&amp;IF(INDEX(Тексты!$Q$1:$Q$61,$U60)=0,"нет история RU; ",IF(OR(INDEX(Тексты!$Q$1:$Q$61,$U60)&lt;40,INDEX(Тексты!$Q$1:$Q$61,$U60)&gt;90),"история RU "&amp;INDEX(Тексты!$Q$1:$Q$61,$U60)&amp;" сл. (нужно 40–90); ",""))&amp;IF(INDEX(Тексты!$K$1:$K$61,$U60)=0,"нет подробнее EN; ",IF(OR(INDEX(Тексты!$K$1:$K$61,$U60)&lt;1,INDEX(Тексты!$K$1:$K$61,$U60)&gt;250),"подробнее EN "&amp;INDEX(Тексты!$K$1:$K$61,$U60)&amp;" сл. (нужно 1–250); ",""))&amp;IF(INDEX(Тексты!$M$1:$M$61,$U60)=0,"нет подробнее PT; ",IF(OR(INDEX(Тексты!$M$1:$M$61,$U60)&lt;1,INDEX(Тексты!$M$1:$M$61,$U60)&gt;250),"подробнее PT "&amp;INDEX(Тексты!$M$1:$M$61,$U60)&amp;" сл. (нужно 1–250); ",""))&amp;IF(INDEX(Тексты!$S$1:$S$61,$U60)=0,"нет подробнее RU; ",IF(OR(INDEX(Тексты!$S$1:$S$61,$U60)&lt;1,INDEX(Тексты!$S$1:$S$61,$U60)&gt;250),"подробнее RU "&amp;INDEX(Тексты!$S$1:$S$61,$U60)&amp;" сл. (нужно 1–250); ","")))&amp;IF($V60=0,"нет строки в «Места»; ",IF(OR(INDEX(Места!$B$1:$B$61,$V60)="",INDEX(Места!$C$1:$C$61,$V60)="",INDEX(Места!$Q$1:$Q$61,$V60)=""),"нет названия EN/PT/RU; ","")&amp;IF(OR(INDEX(Места!$D$1:$D$61,$V60)="",INDEX(Места!$E$1:$E$61,$V60)="",INDEX(Места!$R$1:$R$61,$V60)=""),"нет slug EN/PT/RU; ","")&amp;IF(INDEX(Места!$K$1:$K$61,$V60)="","нет моста в сегодня; ","")&amp;IF(OR(INDEX(Места!$O$1:$O$61,$V60)="",INDEX(Места!$O$1:$O$61,$V60)="TODO"),"нет сайта моста; ","")&amp;IF(INDEX(Места!$P$1:$P$61,$V60)&lt;&gt;"да","координаты не проверены; ",""))&amp;IF(AND($L60="готово",OR($R60="",$S60="")),"нет рецензента/даты; ",""))</f>
        <v/>
      </c>
    </row>
    <row r="61" spans="1:23" ht="15" customHeight="1" x14ac:dyDescent="0.25">
      <c r="A61" s="12"/>
      <c r="B61" s="12"/>
      <c r="C61" s="19"/>
      <c r="D61" s="19"/>
      <c r="E61" s="12"/>
      <c r="F61" s="12"/>
      <c r="G61" s="12"/>
      <c r="H61" s="19"/>
      <c r="I61" s="19"/>
      <c r="J61" s="19"/>
      <c r="K61" s="19"/>
      <c r="L61" s="12"/>
      <c r="M61" s="20" t="str">
        <f>IF($A61="","",COUNTIFS(Источники!$A$2:$A$200,$A61,Источники!$G$2:$G$200,"нашли"))</f>
        <v/>
      </c>
      <c r="N61" s="21" t="str">
        <f t="shared" si="1"/>
        <v/>
      </c>
      <c r="O61" s="12"/>
      <c r="P61" s="12"/>
      <c r="Q61" s="12"/>
      <c r="R61" s="12"/>
      <c r="S61" s="12"/>
      <c r="T61" s="12"/>
      <c r="U61" s="22">
        <f>IF($A61="",0,IFERROR(MATCH($A61,Тексты!$A$1:$A$61,0),0))</f>
        <v>0</v>
      </c>
      <c r="V61" s="22">
        <f>IF($A61="",0,IFERROR(MATCH($A61,Места!$A$1:$A$61,0),0))</f>
        <v>0</v>
      </c>
      <c r="W61" s="22" t="str">
        <f>IF($A61="","",IF(COUNTIF($A$2:$A$61,$A61)&gt;1,"дубль id; ","")&amp;IF($B61="","нет эпохи; ","")&amp;IF($C61="","нет уровня; ","")&amp;IF($D61="","нет года; ","")&amp;IF($F61="","нет нити; ","")&amp;IF($H61="","нет важности; ","")&amp;IF($I61="","нет метки; ","")&amp;IF($J61="","нет возраста; ","")&amp;IF($K61="","не указана тяжёлая тема; ","")&amp;IF($M61&lt;IF($C61="frame",2,1),"источников "&amp;$M61&amp;" из "&amp;IF($C61="frame",2,1)&amp;"; ","")&amp;IF($U61=0,"нет строки в «Тексты»; ",IF(INDEX(Тексты!$C$1:$C$61,$U61)=0,"нет крючок EN; ",IF(OR(INDEX(Тексты!$C$1:$C$61,$U61)&lt;1,INDEX(Тексты!$C$1:$C$61,$U61)&gt;12),"крючок EN "&amp;INDEX(Тексты!$C$1:$C$61,$U61)&amp;" сл. (нужно 1–12); ",""))&amp;IF(INDEX(Тексты!$E$1:$E$61,$U61)=0,"нет крючок PT; ",IF(OR(INDEX(Тексты!$E$1:$E$61,$U61)&lt;1,INDEX(Тексты!$E$1:$E$61,$U61)&gt;12),"крючок PT "&amp;INDEX(Тексты!$E$1:$E$61,$U61)&amp;" сл. (нужно 1–12); ",""))&amp;IF(INDEX(Тексты!$O$1:$O$61,$U61)=0,"нет крючок RU; ",IF(OR(INDEX(Тексты!$O$1:$O$61,$U61)&lt;1,INDEX(Тексты!$O$1:$O$61,$U61)&gt;12),"крючок RU "&amp;INDEX(Тексты!$O$1:$O$61,$U61)&amp;" сл. (нужно 1–12); ",""))&amp;IF(INDEX(Тексты!$G$1:$G$61,$U61)=0,"нет история EN; ",IF(OR(INDEX(Тексты!$G$1:$G$61,$U61)&lt;40,INDEX(Тексты!$G$1:$G$61,$U61)&gt;90),"история EN "&amp;INDEX(Тексты!$G$1:$G$61,$U61)&amp;" сл. (нужно 40–90); ",""))&amp;IF(INDEX(Тексты!$I$1:$I$61,$U61)=0,"нет история PT; ",IF(OR(INDEX(Тексты!$I$1:$I$61,$U61)&lt;40,INDEX(Тексты!$I$1:$I$61,$U61)&gt;90),"история PT "&amp;INDEX(Тексты!$I$1:$I$61,$U61)&amp;" сл. (нужно 40–90); ",""))&amp;IF(INDEX(Тексты!$Q$1:$Q$61,$U61)=0,"нет история RU; ",IF(OR(INDEX(Тексты!$Q$1:$Q$61,$U61)&lt;40,INDEX(Тексты!$Q$1:$Q$61,$U61)&gt;90),"история RU "&amp;INDEX(Тексты!$Q$1:$Q$61,$U61)&amp;" сл. (нужно 40–90); ",""))&amp;IF(INDEX(Тексты!$K$1:$K$61,$U61)=0,"нет подробнее EN; ",IF(OR(INDEX(Тексты!$K$1:$K$61,$U61)&lt;1,INDEX(Тексты!$K$1:$K$61,$U61)&gt;250),"подробнее EN "&amp;INDEX(Тексты!$K$1:$K$61,$U61)&amp;" сл. (нужно 1–250); ",""))&amp;IF(INDEX(Тексты!$M$1:$M$61,$U61)=0,"нет подробнее PT; ",IF(OR(INDEX(Тексты!$M$1:$M$61,$U61)&lt;1,INDEX(Тексты!$M$1:$M$61,$U61)&gt;250),"подробнее PT "&amp;INDEX(Тексты!$M$1:$M$61,$U61)&amp;" сл. (нужно 1–250); ",""))&amp;IF(INDEX(Тексты!$S$1:$S$61,$U61)=0,"нет подробнее RU; ",IF(OR(INDEX(Тексты!$S$1:$S$61,$U61)&lt;1,INDEX(Тексты!$S$1:$S$61,$U61)&gt;250),"подробнее RU "&amp;INDEX(Тексты!$S$1:$S$61,$U61)&amp;" сл. (нужно 1–250); ","")))&amp;IF($V61=0,"нет строки в «Места»; ",IF(OR(INDEX(Места!$B$1:$B$61,$V61)="",INDEX(Места!$C$1:$C$61,$V61)="",INDEX(Места!$Q$1:$Q$61,$V61)=""),"нет названия EN/PT/RU; ","")&amp;IF(OR(INDEX(Места!$D$1:$D$61,$V61)="",INDEX(Места!$E$1:$E$61,$V61)="",INDEX(Места!$R$1:$R$61,$V61)=""),"нет slug EN/PT/RU; ","")&amp;IF(INDEX(Места!$K$1:$K$61,$V61)="","нет моста в сегодня; ","")&amp;IF(OR(INDEX(Места!$O$1:$O$61,$V61)="",INDEX(Места!$O$1:$O$61,$V61)="TODO"),"нет сайта моста; ","")&amp;IF(INDEX(Места!$P$1:$P$61,$V61)&lt;&gt;"да","координаты не проверены; ",""))&amp;IF(AND($L61="готово",OR($R61="",$S61="")),"нет рецензента/даты; ",""))</f>
        <v/>
      </c>
    </row>
  </sheetData>
  <autoFilter ref="A1:W61" xr:uid="{00000000-0009-0000-0000-000002000000}"/>
  <conditionalFormatting sqref="N2:N61">
    <cfRule type="cellIs" dxfId="14" priority="2" operator="equal">
      <formula>"OK"</formula>
    </cfRule>
    <cfRule type="expression" dxfId="13" priority="3">
      <formula>AND(N2&lt;&gt;"",N2&lt;&gt;"OK")</formula>
    </cfRule>
  </conditionalFormatting>
  <conditionalFormatting sqref="A2:A61">
    <cfRule type="expression" dxfId="12" priority="4">
      <formula>AND(A2&lt;&gt;"",COUNTIF($A$2:$A$61,A2)&gt;1)</formula>
    </cfRule>
  </conditionalFormatting>
  <dataValidations count="1">
    <dataValidation type="whole" allowBlank="1" showErrorMessage="1" error="Важность: 1, 2 или 3" sqref="H2:H61" xr:uid="{00000000-0002-0000-0200-000009000000}">
      <formula1>1</formula1>
      <formula2>3</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8">
        <x14:dataValidation type="list" allowBlank="1" showErrorMessage="1" error="Выберите значение из списка" xr:uid="{00000000-0002-0000-0200-000000000000}">
          <x14:formula1>
            <xm:f>Списки!$A$2:$A$4</xm:f>
          </x14:formula1>
          <x14:formula2>
            <xm:f>0</xm:f>
          </x14:formula2>
          <xm:sqref>B2:B61</xm:sqref>
        </x14:dataValidation>
        <x14:dataValidation type="list" allowBlank="1" showErrorMessage="1" error="Выберите значение из списка" xr:uid="{00000000-0002-0000-0200-000001000000}">
          <x14:formula1>
            <xm:f>Списки!$B$2:$B$3</xm:f>
          </x14:formula1>
          <x14:formula2>
            <xm:f>0</xm:f>
          </x14:formula2>
          <xm:sqref>C2:C61</xm:sqref>
        </x14:dataValidation>
        <x14:dataValidation type="list" allowBlank="1" showErrorMessage="1" error="Выберите значение из списка" xr:uid="{00000000-0002-0000-0200-000002000000}">
          <x14:formula1>
            <xm:f>Списки!$C$2:$C$6</xm:f>
          </x14:formula1>
          <x14:formula2>
            <xm:f>0</xm:f>
          </x14:formula2>
          <xm:sqref>F2:G61</xm:sqref>
        </x14:dataValidation>
        <x14:dataValidation type="list" allowBlank="1" showErrorMessage="1" error="Выберите значение из списка" xr:uid="{00000000-0002-0000-0200-000004000000}">
          <x14:formula1>
            <xm:f>Списки!$D$2:$D$4</xm:f>
          </x14:formula1>
          <x14:formula2>
            <xm:f>0</xm:f>
          </x14:formula2>
          <xm:sqref>I2:I61</xm:sqref>
        </x14:dataValidation>
        <x14:dataValidation type="list" allowBlank="1" showErrorMessage="1" error="Выберите значение из списка" xr:uid="{00000000-0002-0000-0200-000005000000}">
          <x14:formula1>
            <xm:f>Списки!$E$2:$E$4</xm:f>
          </x14:formula1>
          <x14:formula2>
            <xm:f>0</xm:f>
          </x14:formula2>
          <xm:sqref>J2:J61</xm:sqref>
        </x14:dataValidation>
        <x14:dataValidation type="list" allowBlank="1" showErrorMessage="1" error="Выберите значение из списка" xr:uid="{00000000-0002-0000-0200-000006000000}">
          <x14:formula1>
            <xm:f>Списки!$F$2:$F$3</xm:f>
          </x14:formula1>
          <x14:formula2>
            <xm:f>0</xm:f>
          </x14:formula2>
          <xm:sqref>K2:K61</xm:sqref>
        </x14:dataValidation>
        <x14:dataValidation type="list" allowBlank="1" showErrorMessage="1" error="Выберите значение из списка" xr:uid="{00000000-0002-0000-0200-000007000000}">
          <x14:formula1>
            <xm:f>Списки!$G$2:$G$9</xm:f>
          </x14:formula1>
          <x14:formula2>
            <xm:f>0</xm:f>
          </x14:formula2>
          <xm:sqref>L2:L61</xm:sqref>
        </x14:dataValidation>
        <x14:dataValidation type="list" allowBlank="1" showErrorMessage="1" error="Выберите значение из списка" xr:uid="{00000000-0002-0000-0200-000008000000}">
          <x14:formula1>
            <xm:f>Списки!$I$2:$I$3</xm:f>
          </x14:formula1>
          <x14:formula2>
            <xm:f>0</xm:f>
          </x14:formula2>
          <xm:sqref>P2:P61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0" style="18" customWidth="1"/>
    <col min="2" max="2" width="30" style="18" customWidth="1"/>
    <col min="3" max="3" width="6" style="18" customWidth="1"/>
    <col min="4" max="4" width="30" style="18" customWidth="1"/>
    <col min="5" max="5" width="6" style="18" customWidth="1"/>
    <col min="6" max="6" width="55" style="18" customWidth="1"/>
    <col min="7" max="7" width="6" style="18" customWidth="1"/>
    <col min="8" max="8" width="55" style="18" customWidth="1"/>
    <col min="9" max="9" width="6" style="18" customWidth="1"/>
    <col min="10" max="10" width="55" style="18" customWidth="1"/>
    <col min="11" max="11" width="6" style="18" customWidth="1"/>
    <col min="12" max="12" width="55" style="18" customWidth="1"/>
    <col min="13" max="13" width="6" style="18" customWidth="1"/>
    <col min="14" max="14" width="30" style="18" customWidth="1"/>
    <col min="15" max="15" width="6" style="18" customWidth="1"/>
    <col min="16" max="16" width="55" style="18" customWidth="1"/>
    <col min="17" max="17" width="6" style="18" customWidth="1"/>
    <col min="18" max="18" width="55" style="18" customWidth="1"/>
    <col min="19" max="19" width="6" style="18" customWidth="1"/>
    <col min="20" max="20" width="55" style="18" customWidth="1"/>
    <col min="21" max="21" width="40" style="18" customWidth="1"/>
  </cols>
  <sheetData>
    <row r="1" spans="1:21" ht="42" customHeight="1" x14ac:dyDescent="0.25">
      <c r="A1" s="4" t="s">
        <v>139</v>
      </c>
      <c r="B1" s="4" t="s">
        <v>205</v>
      </c>
      <c r="C1" s="4" t="s">
        <v>206</v>
      </c>
      <c r="D1" s="4" t="s">
        <v>207</v>
      </c>
      <c r="E1" s="4" t="s">
        <v>206</v>
      </c>
      <c r="F1" s="4" t="s">
        <v>208</v>
      </c>
      <c r="G1" s="4" t="s">
        <v>206</v>
      </c>
      <c r="H1" s="4" t="s">
        <v>209</v>
      </c>
      <c r="I1" s="4" t="s">
        <v>206</v>
      </c>
      <c r="J1" s="4" t="s">
        <v>210</v>
      </c>
      <c r="K1" s="4" t="s">
        <v>206</v>
      </c>
      <c r="L1" s="4" t="s">
        <v>211</v>
      </c>
      <c r="M1" s="4" t="s">
        <v>206</v>
      </c>
      <c r="N1" s="4" t="s">
        <v>212</v>
      </c>
      <c r="O1" s="4" t="s">
        <v>206</v>
      </c>
      <c r="P1" s="4" t="s">
        <v>213</v>
      </c>
      <c r="Q1" s="4" t="s">
        <v>206</v>
      </c>
      <c r="R1" s="4" t="s">
        <v>214</v>
      </c>
      <c r="S1" s="4" t="s">
        <v>206</v>
      </c>
      <c r="T1" s="4" t="s">
        <v>215</v>
      </c>
      <c r="U1" s="4" t="s">
        <v>216</v>
      </c>
    </row>
    <row r="2" spans="1:21" ht="259.5" customHeight="1" x14ac:dyDescent="0.25">
      <c r="A2" s="12" t="s">
        <v>61</v>
      </c>
      <c r="B2" s="12" t="s">
        <v>217</v>
      </c>
      <c r="C2" s="20">
        <f t="shared" ref="C2:C33" si="0">IF($A2="","",IF(TRIM(SUBSTITUTE(B2,CHAR(10)," "))="",0,LEN(TRIM(SUBSTITUTE(B2,CHAR(10)," ")))-LEN(SUBSTITUTE(TRIM(SUBSTITUTE(B2,CHAR(10)," "))," ",""))+1))</f>
        <v>10</v>
      </c>
      <c r="D2" s="12" t="s">
        <v>218</v>
      </c>
      <c r="E2" s="20">
        <f t="shared" ref="E2:E33" si="1">IF($A2="","",IF(TRIM(SUBSTITUTE(D2,CHAR(10)," "))="",0,LEN(TRIM(SUBSTITUTE(D2,CHAR(10)," ")))-LEN(SUBSTITUTE(TRIM(SUBSTITUTE(D2,CHAR(10)," "))," ",""))+1))</f>
        <v>6</v>
      </c>
      <c r="F2" s="12" t="s">
        <v>219</v>
      </c>
      <c r="G2" s="20">
        <f t="shared" ref="G2:G33" si="2">IF($A2="","",IF(TRIM(SUBSTITUTE(F2,CHAR(10)," "))="",0,LEN(TRIM(SUBSTITUTE(F2,CHAR(10)," ")))-LEN(SUBSTITUTE(TRIM(SUBSTITUTE(F2,CHAR(10)," "))," ",""))+1))</f>
        <v>87</v>
      </c>
      <c r="H2" s="12" t="s">
        <v>220</v>
      </c>
      <c r="I2" s="20">
        <f t="shared" ref="I2:I33" si="3">IF($A2="","",IF(TRIM(SUBSTITUTE(H2,CHAR(10)," "))="",0,LEN(TRIM(SUBSTITUTE(H2,CHAR(10)," ")))-LEN(SUBSTITUTE(TRIM(SUBSTITUTE(H2,CHAR(10)," "))," ",""))+1))</f>
        <v>86</v>
      </c>
      <c r="J2" s="12" t="s">
        <v>221</v>
      </c>
      <c r="K2" s="20">
        <f t="shared" ref="K2:K33" si="4">IF($A2="","",IF(TRIM(SUBSTITUTE(J2,CHAR(10)," "))="",0,LEN(TRIM(SUBSTITUTE(J2,CHAR(10)," ")))-LEN(SUBSTITUTE(TRIM(SUBSTITUTE(J2,CHAR(10)," "))," ",""))+1))</f>
        <v>183</v>
      </c>
      <c r="L2" s="12" t="s">
        <v>222</v>
      </c>
      <c r="M2" s="20">
        <f t="shared" ref="M2:M33" si="5">IF($A2="","",IF(TRIM(SUBSTITUTE(L2,CHAR(10)," "))="",0,LEN(TRIM(SUBSTITUTE(L2,CHAR(10)," ")))-LEN(SUBSTITUTE(TRIM(SUBSTITUTE(L2,CHAR(10)," "))," ",""))+1))</f>
        <v>195</v>
      </c>
      <c r="N2" s="12" t="s">
        <v>223</v>
      </c>
      <c r="O2" s="20">
        <f t="shared" ref="O2:O33" si="6">IF($A2="","",IF(TRIM(SUBSTITUTE(N2,CHAR(10)," "))="",0,LEN(TRIM(SUBSTITUTE(N2,CHAR(10)," ")))-LEN(SUBSTITUTE(TRIM(SUBSTITUTE(N2,CHAR(10)," "))," ",""))+1))</f>
        <v>7</v>
      </c>
      <c r="P2" s="12" t="s">
        <v>224</v>
      </c>
      <c r="Q2" s="20">
        <f t="shared" ref="Q2:Q33" si="7">IF($A2="","",IF(TRIM(SUBSTITUTE(P2,CHAR(10)," "))="",0,LEN(TRIM(SUBSTITUTE(P2,CHAR(10)," ")))-LEN(SUBSTITUTE(TRIM(SUBSTITUTE(P2,CHAR(10)," "))," ",""))+1))</f>
        <v>77</v>
      </c>
      <c r="R2" s="12" t="s">
        <v>225</v>
      </c>
      <c r="S2" s="20">
        <f t="shared" ref="S2:S33" si="8">IF($A2="","",IF(TRIM(SUBSTITUTE(R2,CHAR(10)," "))="",0,LEN(TRIM(SUBSTITUTE(R2,CHAR(10)," ")))-LEN(SUBSTITUTE(TRIM(SUBSTITUTE(R2,CHAR(10)," "))," ",""))+1))</f>
        <v>152</v>
      </c>
      <c r="T2" s="12" t="s">
        <v>226</v>
      </c>
      <c r="U2" s="12"/>
    </row>
    <row r="3" spans="1:21" ht="259.5" customHeight="1" x14ac:dyDescent="0.25">
      <c r="A3" s="12" t="s">
        <v>67</v>
      </c>
      <c r="B3" s="12" t="s">
        <v>227</v>
      </c>
      <c r="C3" s="20">
        <f t="shared" si="0"/>
        <v>11</v>
      </c>
      <c r="D3" s="12" t="s">
        <v>228</v>
      </c>
      <c r="E3" s="20">
        <f t="shared" si="1"/>
        <v>11</v>
      </c>
      <c r="F3" s="12" t="s">
        <v>229</v>
      </c>
      <c r="G3" s="20">
        <f t="shared" si="2"/>
        <v>60</v>
      </c>
      <c r="H3" s="12" t="s">
        <v>230</v>
      </c>
      <c r="I3" s="20">
        <f t="shared" si="3"/>
        <v>66</v>
      </c>
      <c r="J3" s="12" t="s">
        <v>231</v>
      </c>
      <c r="K3" s="20">
        <f t="shared" si="4"/>
        <v>170</v>
      </c>
      <c r="L3" s="12" t="s">
        <v>232</v>
      </c>
      <c r="M3" s="20">
        <f t="shared" si="5"/>
        <v>176</v>
      </c>
      <c r="N3" s="12" t="s">
        <v>233</v>
      </c>
      <c r="O3" s="20">
        <f t="shared" si="6"/>
        <v>7</v>
      </c>
      <c r="P3" s="12" t="s">
        <v>234</v>
      </c>
      <c r="Q3" s="20">
        <f t="shared" si="7"/>
        <v>51</v>
      </c>
      <c r="R3" s="12" t="s">
        <v>235</v>
      </c>
      <c r="S3" s="20">
        <f t="shared" si="8"/>
        <v>143</v>
      </c>
      <c r="T3" s="12" t="s">
        <v>236</v>
      </c>
      <c r="U3" s="12"/>
    </row>
    <row r="4" spans="1:21" ht="259.5" customHeight="1" x14ac:dyDescent="0.25">
      <c r="A4" s="12" t="s">
        <v>72</v>
      </c>
      <c r="B4" s="12" t="s">
        <v>237</v>
      </c>
      <c r="C4" s="20">
        <f t="shared" si="0"/>
        <v>12</v>
      </c>
      <c r="D4" s="12" t="s">
        <v>238</v>
      </c>
      <c r="E4" s="20">
        <f t="shared" si="1"/>
        <v>11</v>
      </c>
      <c r="F4" s="12" t="s">
        <v>239</v>
      </c>
      <c r="G4" s="20">
        <f t="shared" si="2"/>
        <v>59</v>
      </c>
      <c r="H4" s="12" t="s">
        <v>240</v>
      </c>
      <c r="I4" s="20">
        <f t="shared" si="3"/>
        <v>67</v>
      </c>
      <c r="J4" s="12" t="s">
        <v>241</v>
      </c>
      <c r="K4" s="20">
        <f t="shared" si="4"/>
        <v>81</v>
      </c>
      <c r="L4" s="12" t="s">
        <v>242</v>
      </c>
      <c r="M4" s="20">
        <f t="shared" si="5"/>
        <v>79</v>
      </c>
      <c r="N4" s="12" t="s">
        <v>243</v>
      </c>
      <c r="O4" s="20">
        <f t="shared" si="6"/>
        <v>8</v>
      </c>
      <c r="P4" s="12" t="s">
        <v>244</v>
      </c>
      <c r="Q4" s="20">
        <f t="shared" si="7"/>
        <v>59</v>
      </c>
      <c r="R4" s="12" t="s">
        <v>245</v>
      </c>
      <c r="S4" s="20">
        <f t="shared" si="8"/>
        <v>67</v>
      </c>
      <c r="T4" s="12" t="s">
        <v>246</v>
      </c>
      <c r="U4" s="12"/>
    </row>
    <row r="5" spans="1:21" ht="259.5" customHeight="1" x14ac:dyDescent="0.25">
      <c r="A5" s="12" t="s">
        <v>77</v>
      </c>
      <c r="B5" s="12" t="s">
        <v>247</v>
      </c>
      <c r="C5" s="20">
        <f t="shared" si="0"/>
        <v>12</v>
      </c>
      <c r="D5" s="12" t="s">
        <v>248</v>
      </c>
      <c r="E5" s="20">
        <f t="shared" si="1"/>
        <v>11</v>
      </c>
      <c r="F5" s="12" t="s">
        <v>249</v>
      </c>
      <c r="G5" s="20">
        <f t="shared" si="2"/>
        <v>82</v>
      </c>
      <c r="H5" s="12" t="s">
        <v>250</v>
      </c>
      <c r="I5" s="20">
        <f t="shared" si="3"/>
        <v>79</v>
      </c>
      <c r="J5" s="12" t="s">
        <v>251</v>
      </c>
      <c r="K5" s="20">
        <f t="shared" si="4"/>
        <v>139</v>
      </c>
      <c r="L5" s="12" t="s">
        <v>252</v>
      </c>
      <c r="M5" s="20">
        <f t="shared" si="5"/>
        <v>149</v>
      </c>
      <c r="N5" s="12" t="s">
        <v>253</v>
      </c>
      <c r="O5" s="20">
        <f t="shared" si="6"/>
        <v>8</v>
      </c>
      <c r="P5" s="12" t="s">
        <v>254</v>
      </c>
      <c r="Q5" s="20">
        <f t="shared" si="7"/>
        <v>63</v>
      </c>
      <c r="R5" s="12" t="s">
        <v>255</v>
      </c>
      <c r="S5" s="20">
        <f t="shared" si="8"/>
        <v>117</v>
      </c>
      <c r="T5" s="12" t="s">
        <v>256</v>
      </c>
      <c r="U5" s="12"/>
    </row>
    <row r="6" spans="1:21" ht="259.5" customHeight="1" x14ac:dyDescent="0.25">
      <c r="A6" s="12" t="s">
        <v>82</v>
      </c>
      <c r="B6" s="12" t="s">
        <v>257</v>
      </c>
      <c r="C6" s="20">
        <f t="shared" si="0"/>
        <v>10</v>
      </c>
      <c r="D6" s="12" t="s">
        <v>258</v>
      </c>
      <c r="E6" s="20">
        <f t="shared" si="1"/>
        <v>12</v>
      </c>
      <c r="F6" s="12" t="s">
        <v>259</v>
      </c>
      <c r="G6" s="20">
        <f t="shared" si="2"/>
        <v>80</v>
      </c>
      <c r="H6" s="12" t="s">
        <v>260</v>
      </c>
      <c r="I6" s="20">
        <f t="shared" si="3"/>
        <v>81</v>
      </c>
      <c r="J6" s="12" t="s">
        <v>261</v>
      </c>
      <c r="K6" s="20">
        <f t="shared" si="4"/>
        <v>199</v>
      </c>
      <c r="L6" s="12" t="s">
        <v>262</v>
      </c>
      <c r="M6" s="20">
        <f t="shared" si="5"/>
        <v>215</v>
      </c>
      <c r="N6" s="12" t="s">
        <v>263</v>
      </c>
      <c r="O6" s="20">
        <f t="shared" si="6"/>
        <v>7</v>
      </c>
      <c r="P6" s="12" t="s">
        <v>264</v>
      </c>
      <c r="Q6" s="20">
        <f t="shared" si="7"/>
        <v>67</v>
      </c>
      <c r="R6" s="12" t="s">
        <v>265</v>
      </c>
      <c r="S6" s="20">
        <f t="shared" si="8"/>
        <v>164</v>
      </c>
      <c r="T6" s="12" t="s">
        <v>266</v>
      </c>
      <c r="U6" s="12"/>
    </row>
    <row r="7" spans="1:21" ht="259.5" customHeight="1" x14ac:dyDescent="0.25">
      <c r="A7" s="12" t="s">
        <v>87</v>
      </c>
      <c r="B7" s="12" t="s">
        <v>267</v>
      </c>
      <c r="C7" s="20">
        <f t="shared" si="0"/>
        <v>10</v>
      </c>
      <c r="D7" s="12" t="s">
        <v>268</v>
      </c>
      <c r="E7" s="20">
        <f t="shared" si="1"/>
        <v>11</v>
      </c>
      <c r="F7" s="12" t="s">
        <v>269</v>
      </c>
      <c r="G7" s="20">
        <f t="shared" si="2"/>
        <v>82</v>
      </c>
      <c r="H7" s="12" t="s">
        <v>270</v>
      </c>
      <c r="I7" s="20">
        <f t="shared" si="3"/>
        <v>85</v>
      </c>
      <c r="J7" s="12" t="s">
        <v>271</v>
      </c>
      <c r="K7" s="20">
        <f t="shared" si="4"/>
        <v>88</v>
      </c>
      <c r="L7" s="12" t="s">
        <v>272</v>
      </c>
      <c r="M7" s="20">
        <f t="shared" si="5"/>
        <v>84</v>
      </c>
      <c r="N7" s="12" t="s">
        <v>273</v>
      </c>
      <c r="O7" s="20">
        <f t="shared" si="6"/>
        <v>10</v>
      </c>
      <c r="P7" s="12" t="s">
        <v>274</v>
      </c>
      <c r="Q7" s="20">
        <f t="shared" si="7"/>
        <v>66</v>
      </c>
      <c r="R7" s="12" t="s">
        <v>275</v>
      </c>
      <c r="S7" s="20">
        <f t="shared" si="8"/>
        <v>72</v>
      </c>
      <c r="T7" s="12" t="s">
        <v>276</v>
      </c>
      <c r="U7" s="12"/>
    </row>
    <row r="8" spans="1:21" ht="259.5" customHeight="1" x14ac:dyDescent="0.25">
      <c r="A8" s="12" t="s">
        <v>92</v>
      </c>
      <c r="B8" s="12" t="s">
        <v>277</v>
      </c>
      <c r="C8" s="20">
        <f t="shared" si="0"/>
        <v>11</v>
      </c>
      <c r="D8" s="12" t="s">
        <v>278</v>
      </c>
      <c r="E8" s="20">
        <f t="shared" si="1"/>
        <v>10</v>
      </c>
      <c r="F8" s="12" t="s">
        <v>279</v>
      </c>
      <c r="G8" s="20">
        <f t="shared" si="2"/>
        <v>83</v>
      </c>
      <c r="H8" s="12" t="s">
        <v>280</v>
      </c>
      <c r="I8" s="20">
        <f t="shared" si="3"/>
        <v>85</v>
      </c>
      <c r="J8" s="12" t="s">
        <v>281</v>
      </c>
      <c r="K8" s="20">
        <f t="shared" si="4"/>
        <v>103</v>
      </c>
      <c r="L8" s="12" t="s">
        <v>282</v>
      </c>
      <c r="M8" s="20">
        <f t="shared" si="5"/>
        <v>109</v>
      </c>
      <c r="N8" s="12" t="s">
        <v>283</v>
      </c>
      <c r="O8" s="20">
        <f t="shared" si="6"/>
        <v>8</v>
      </c>
      <c r="P8" s="12" t="s">
        <v>284</v>
      </c>
      <c r="Q8" s="20">
        <f t="shared" si="7"/>
        <v>65</v>
      </c>
      <c r="R8" s="12" t="s">
        <v>285</v>
      </c>
      <c r="S8" s="20">
        <f t="shared" si="8"/>
        <v>78</v>
      </c>
      <c r="T8" s="12" t="s">
        <v>286</v>
      </c>
      <c r="U8" s="12"/>
    </row>
    <row r="9" spans="1:21" ht="259.5" customHeight="1" x14ac:dyDescent="0.25">
      <c r="A9" s="12" t="s">
        <v>97</v>
      </c>
      <c r="B9" s="12" t="s">
        <v>287</v>
      </c>
      <c r="C9" s="20">
        <f t="shared" si="0"/>
        <v>11</v>
      </c>
      <c r="D9" s="12" t="s">
        <v>288</v>
      </c>
      <c r="E9" s="20">
        <f t="shared" si="1"/>
        <v>12</v>
      </c>
      <c r="F9" s="12" t="s">
        <v>289</v>
      </c>
      <c r="G9" s="20">
        <f t="shared" si="2"/>
        <v>60</v>
      </c>
      <c r="H9" s="12" t="s">
        <v>290</v>
      </c>
      <c r="I9" s="20">
        <f t="shared" si="3"/>
        <v>66</v>
      </c>
      <c r="J9" s="12" t="s">
        <v>291</v>
      </c>
      <c r="K9" s="20">
        <f t="shared" si="4"/>
        <v>125</v>
      </c>
      <c r="L9" s="12" t="s">
        <v>292</v>
      </c>
      <c r="M9" s="20">
        <f t="shared" si="5"/>
        <v>138</v>
      </c>
      <c r="N9" s="12" t="s">
        <v>293</v>
      </c>
      <c r="O9" s="20">
        <f t="shared" si="6"/>
        <v>11</v>
      </c>
      <c r="P9" s="12" t="s">
        <v>294</v>
      </c>
      <c r="Q9" s="20">
        <f t="shared" si="7"/>
        <v>54</v>
      </c>
      <c r="R9" s="12" t="s">
        <v>295</v>
      </c>
      <c r="S9" s="20">
        <f t="shared" si="8"/>
        <v>103</v>
      </c>
      <c r="T9" s="12" t="s">
        <v>296</v>
      </c>
      <c r="U9" s="12"/>
    </row>
    <row r="10" spans="1:21" ht="259.5" customHeight="1" x14ac:dyDescent="0.25">
      <c r="A10" s="12" t="s">
        <v>102</v>
      </c>
      <c r="B10" s="12" t="s">
        <v>297</v>
      </c>
      <c r="C10" s="20">
        <f t="shared" si="0"/>
        <v>12</v>
      </c>
      <c r="D10" s="12" t="s">
        <v>298</v>
      </c>
      <c r="E10" s="20">
        <f t="shared" si="1"/>
        <v>12</v>
      </c>
      <c r="F10" s="12" t="s">
        <v>299</v>
      </c>
      <c r="G10" s="20">
        <f t="shared" si="2"/>
        <v>74</v>
      </c>
      <c r="H10" s="12" t="s">
        <v>300</v>
      </c>
      <c r="I10" s="20">
        <f t="shared" si="3"/>
        <v>76</v>
      </c>
      <c r="J10" s="12" t="s">
        <v>301</v>
      </c>
      <c r="K10" s="20">
        <f t="shared" si="4"/>
        <v>126</v>
      </c>
      <c r="L10" s="12" t="s">
        <v>302</v>
      </c>
      <c r="M10" s="20">
        <f t="shared" si="5"/>
        <v>135</v>
      </c>
      <c r="N10" s="12" t="s">
        <v>303</v>
      </c>
      <c r="O10" s="20">
        <f t="shared" si="6"/>
        <v>10</v>
      </c>
      <c r="P10" s="12" t="s">
        <v>304</v>
      </c>
      <c r="Q10" s="20">
        <f t="shared" si="7"/>
        <v>66</v>
      </c>
      <c r="R10" s="12" t="s">
        <v>305</v>
      </c>
      <c r="S10" s="20">
        <f t="shared" si="8"/>
        <v>110</v>
      </c>
      <c r="T10" s="12" t="s">
        <v>306</v>
      </c>
      <c r="U10" s="12"/>
    </row>
    <row r="11" spans="1:21" ht="259.5" customHeight="1" x14ac:dyDescent="0.25">
      <c r="A11" s="12" t="s">
        <v>107</v>
      </c>
      <c r="B11" s="12" t="s">
        <v>307</v>
      </c>
      <c r="C11" s="20">
        <f t="shared" si="0"/>
        <v>10</v>
      </c>
      <c r="D11" s="12" t="s">
        <v>308</v>
      </c>
      <c r="E11" s="20">
        <f t="shared" si="1"/>
        <v>11</v>
      </c>
      <c r="F11" s="12" t="s">
        <v>309</v>
      </c>
      <c r="G11" s="20">
        <f t="shared" si="2"/>
        <v>68</v>
      </c>
      <c r="H11" s="12" t="s">
        <v>310</v>
      </c>
      <c r="I11" s="20">
        <f t="shared" si="3"/>
        <v>68</v>
      </c>
      <c r="J11" s="12" t="s">
        <v>311</v>
      </c>
      <c r="K11" s="20">
        <f t="shared" si="4"/>
        <v>117</v>
      </c>
      <c r="L11" s="12" t="s">
        <v>312</v>
      </c>
      <c r="M11" s="20">
        <f t="shared" si="5"/>
        <v>144</v>
      </c>
      <c r="N11" s="12" t="s">
        <v>313</v>
      </c>
      <c r="O11" s="20">
        <f t="shared" si="6"/>
        <v>11</v>
      </c>
      <c r="P11" s="12" t="s">
        <v>314</v>
      </c>
      <c r="Q11" s="20">
        <f t="shared" si="7"/>
        <v>64</v>
      </c>
      <c r="R11" s="12" t="s">
        <v>315</v>
      </c>
      <c r="S11" s="20">
        <f t="shared" si="8"/>
        <v>112</v>
      </c>
      <c r="T11" s="12" t="s">
        <v>316</v>
      </c>
      <c r="U11" s="12"/>
    </row>
    <row r="12" spans="1:21" ht="259.5" customHeight="1" x14ac:dyDescent="0.25">
      <c r="A12" s="12" t="s">
        <v>113</v>
      </c>
      <c r="B12" s="12" t="s">
        <v>317</v>
      </c>
      <c r="C12" s="20">
        <f t="shared" si="0"/>
        <v>11</v>
      </c>
      <c r="D12" s="12" t="s">
        <v>318</v>
      </c>
      <c r="E12" s="20">
        <f t="shared" si="1"/>
        <v>10</v>
      </c>
      <c r="F12" s="12" t="s">
        <v>319</v>
      </c>
      <c r="G12" s="20">
        <f t="shared" si="2"/>
        <v>54</v>
      </c>
      <c r="H12" s="12" t="s">
        <v>320</v>
      </c>
      <c r="I12" s="20">
        <f t="shared" si="3"/>
        <v>56</v>
      </c>
      <c r="J12" s="12" t="s">
        <v>321</v>
      </c>
      <c r="K12" s="20">
        <f t="shared" si="4"/>
        <v>86</v>
      </c>
      <c r="L12" s="12" t="s">
        <v>322</v>
      </c>
      <c r="M12" s="20">
        <f t="shared" si="5"/>
        <v>77</v>
      </c>
      <c r="N12" s="12" t="s">
        <v>323</v>
      </c>
      <c r="O12" s="20">
        <f t="shared" si="6"/>
        <v>9</v>
      </c>
      <c r="P12" s="12" t="s">
        <v>324</v>
      </c>
      <c r="Q12" s="20">
        <f t="shared" si="7"/>
        <v>49</v>
      </c>
      <c r="R12" s="12" t="s">
        <v>325</v>
      </c>
      <c r="S12" s="20">
        <f t="shared" si="8"/>
        <v>62</v>
      </c>
      <c r="T12" s="12" t="s">
        <v>326</v>
      </c>
      <c r="U12" s="12"/>
    </row>
    <row r="13" spans="1:21" ht="259.5" customHeight="1" x14ac:dyDescent="0.25">
      <c r="A13" s="12" t="s">
        <v>118</v>
      </c>
      <c r="B13" s="12" t="s">
        <v>327</v>
      </c>
      <c r="C13" s="20">
        <f t="shared" si="0"/>
        <v>11</v>
      </c>
      <c r="D13" s="12" t="s">
        <v>328</v>
      </c>
      <c r="E13" s="20">
        <f t="shared" si="1"/>
        <v>12</v>
      </c>
      <c r="F13" s="12" t="s">
        <v>329</v>
      </c>
      <c r="G13" s="20">
        <f t="shared" si="2"/>
        <v>52</v>
      </c>
      <c r="H13" s="12" t="s">
        <v>330</v>
      </c>
      <c r="I13" s="20">
        <f t="shared" si="3"/>
        <v>54</v>
      </c>
      <c r="J13" s="12" t="s">
        <v>331</v>
      </c>
      <c r="K13" s="20">
        <f t="shared" si="4"/>
        <v>97</v>
      </c>
      <c r="L13" s="12" t="s">
        <v>332</v>
      </c>
      <c r="M13" s="20">
        <f t="shared" si="5"/>
        <v>97</v>
      </c>
      <c r="N13" s="12" t="s">
        <v>333</v>
      </c>
      <c r="O13" s="20">
        <f t="shared" si="6"/>
        <v>8</v>
      </c>
      <c r="P13" s="12" t="s">
        <v>334</v>
      </c>
      <c r="Q13" s="20">
        <f t="shared" si="7"/>
        <v>47</v>
      </c>
      <c r="R13" s="12" t="s">
        <v>335</v>
      </c>
      <c r="S13" s="20">
        <f t="shared" si="8"/>
        <v>86</v>
      </c>
      <c r="T13" s="12" t="s">
        <v>336</v>
      </c>
      <c r="U13" s="12"/>
    </row>
    <row r="14" spans="1:21" ht="259.5" customHeight="1" x14ac:dyDescent="0.25">
      <c r="A14" s="12" t="s">
        <v>123</v>
      </c>
      <c r="B14" s="12" t="s">
        <v>337</v>
      </c>
      <c r="C14" s="20">
        <f t="shared" si="0"/>
        <v>11</v>
      </c>
      <c r="D14" s="12" t="s">
        <v>338</v>
      </c>
      <c r="E14" s="20">
        <f t="shared" si="1"/>
        <v>11</v>
      </c>
      <c r="F14" s="12" t="s">
        <v>339</v>
      </c>
      <c r="G14" s="20">
        <f t="shared" si="2"/>
        <v>56</v>
      </c>
      <c r="H14" s="12" t="s">
        <v>340</v>
      </c>
      <c r="I14" s="20">
        <f t="shared" si="3"/>
        <v>55</v>
      </c>
      <c r="J14" s="12" t="s">
        <v>341</v>
      </c>
      <c r="K14" s="20">
        <f t="shared" si="4"/>
        <v>101</v>
      </c>
      <c r="L14" s="12" t="s">
        <v>342</v>
      </c>
      <c r="M14" s="20">
        <f t="shared" si="5"/>
        <v>112</v>
      </c>
      <c r="N14" s="12" t="s">
        <v>343</v>
      </c>
      <c r="O14" s="20">
        <f t="shared" si="6"/>
        <v>9</v>
      </c>
      <c r="P14" s="12" t="s">
        <v>344</v>
      </c>
      <c r="Q14" s="20">
        <f t="shared" si="7"/>
        <v>55</v>
      </c>
      <c r="R14" s="12" t="s">
        <v>345</v>
      </c>
      <c r="S14" s="20">
        <f t="shared" si="8"/>
        <v>97</v>
      </c>
      <c r="T14" s="12" t="s">
        <v>346</v>
      </c>
      <c r="U14" s="12"/>
    </row>
    <row r="15" spans="1:21" ht="15" customHeight="1" x14ac:dyDescent="0.25">
      <c r="A15" s="12"/>
      <c r="B15" s="12"/>
      <c r="C15" s="20" t="str">
        <f t="shared" si="0"/>
        <v/>
      </c>
      <c r="D15" s="12"/>
      <c r="E15" s="20" t="str">
        <f t="shared" si="1"/>
        <v/>
      </c>
      <c r="F15" s="12"/>
      <c r="G15" s="20" t="str">
        <f t="shared" si="2"/>
        <v/>
      </c>
      <c r="H15" s="12"/>
      <c r="I15" s="20" t="str">
        <f t="shared" si="3"/>
        <v/>
      </c>
      <c r="J15" s="12"/>
      <c r="K15" s="20" t="str">
        <f t="shared" si="4"/>
        <v/>
      </c>
      <c r="L15" s="12"/>
      <c r="M15" s="20" t="str">
        <f t="shared" si="5"/>
        <v/>
      </c>
      <c r="N15" s="12"/>
      <c r="O15" s="20" t="str">
        <f t="shared" si="6"/>
        <v/>
      </c>
      <c r="P15" s="12"/>
      <c r="Q15" s="20" t="str">
        <f t="shared" si="7"/>
        <v/>
      </c>
      <c r="R15" s="12"/>
      <c r="S15" s="20" t="str">
        <f t="shared" si="8"/>
        <v/>
      </c>
      <c r="T15" s="12"/>
      <c r="U15" s="12"/>
    </row>
    <row r="16" spans="1:21" ht="15" customHeight="1" x14ac:dyDescent="0.25">
      <c r="A16" s="12"/>
      <c r="B16" s="12"/>
      <c r="C16" s="20" t="str">
        <f t="shared" si="0"/>
        <v/>
      </c>
      <c r="D16" s="12"/>
      <c r="E16" s="20" t="str">
        <f t="shared" si="1"/>
        <v/>
      </c>
      <c r="F16" s="12"/>
      <c r="G16" s="20" t="str">
        <f t="shared" si="2"/>
        <v/>
      </c>
      <c r="H16" s="12"/>
      <c r="I16" s="20" t="str">
        <f t="shared" si="3"/>
        <v/>
      </c>
      <c r="J16" s="12"/>
      <c r="K16" s="20" t="str">
        <f t="shared" si="4"/>
        <v/>
      </c>
      <c r="L16" s="12"/>
      <c r="M16" s="20" t="str">
        <f t="shared" si="5"/>
        <v/>
      </c>
      <c r="N16" s="12"/>
      <c r="O16" s="20" t="str">
        <f t="shared" si="6"/>
        <v/>
      </c>
      <c r="P16" s="12"/>
      <c r="Q16" s="20" t="str">
        <f t="shared" si="7"/>
        <v/>
      </c>
      <c r="R16" s="12"/>
      <c r="S16" s="20" t="str">
        <f t="shared" si="8"/>
        <v/>
      </c>
      <c r="T16" s="12"/>
      <c r="U16" s="12"/>
    </row>
    <row r="17" spans="1:21" ht="15" customHeight="1" x14ac:dyDescent="0.25">
      <c r="A17" s="12"/>
      <c r="B17" s="12"/>
      <c r="C17" s="20" t="str">
        <f t="shared" si="0"/>
        <v/>
      </c>
      <c r="D17" s="12"/>
      <c r="E17" s="20" t="str">
        <f t="shared" si="1"/>
        <v/>
      </c>
      <c r="F17" s="12"/>
      <c r="G17" s="20" t="str">
        <f t="shared" si="2"/>
        <v/>
      </c>
      <c r="H17" s="12"/>
      <c r="I17" s="20" t="str">
        <f t="shared" si="3"/>
        <v/>
      </c>
      <c r="J17" s="12"/>
      <c r="K17" s="20" t="str">
        <f t="shared" si="4"/>
        <v/>
      </c>
      <c r="L17" s="12"/>
      <c r="M17" s="20" t="str">
        <f t="shared" si="5"/>
        <v/>
      </c>
      <c r="N17" s="12"/>
      <c r="O17" s="20" t="str">
        <f t="shared" si="6"/>
        <v/>
      </c>
      <c r="P17" s="12"/>
      <c r="Q17" s="20" t="str">
        <f t="shared" si="7"/>
        <v/>
      </c>
      <c r="R17" s="12"/>
      <c r="S17" s="20" t="str">
        <f t="shared" si="8"/>
        <v/>
      </c>
      <c r="T17" s="12"/>
      <c r="U17" s="12"/>
    </row>
    <row r="18" spans="1:21" ht="15" customHeight="1" x14ac:dyDescent="0.25">
      <c r="A18" s="12"/>
      <c r="B18" s="12"/>
      <c r="C18" s="20" t="str">
        <f t="shared" si="0"/>
        <v/>
      </c>
      <c r="D18" s="12"/>
      <c r="E18" s="20" t="str">
        <f t="shared" si="1"/>
        <v/>
      </c>
      <c r="F18" s="12"/>
      <c r="G18" s="20" t="str">
        <f t="shared" si="2"/>
        <v/>
      </c>
      <c r="H18" s="12"/>
      <c r="I18" s="20" t="str">
        <f t="shared" si="3"/>
        <v/>
      </c>
      <c r="J18" s="12"/>
      <c r="K18" s="20" t="str">
        <f t="shared" si="4"/>
        <v/>
      </c>
      <c r="L18" s="12"/>
      <c r="M18" s="20" t="str">
        <f t="shared" si="5"/>
        <v/>
      </c>
      <c r="N18" s="12"/>
      <c r="O18" s="20" t="str">
        <f t="shared" si="6"/>
        <v/>
      </c>
      <c r="P18" s="12"/>
      <c r="Q18" s="20" t="str">
        <f t="shared" si="7"/>
        <v/>
      </c>
      <c r="R18" s="12"/>
      <c r="S18" s="20" t="str">
        <f t="shared" si="8"/>
        <v/>
      </c>
      <c r="T18" s="12"/>
      <c r="U18" s="12"/>
    </row>
    <row r="19" spans="1:21" ht="15" customHeight="1" x14ac:dyDescent="0.25">
      <c r="A19" s="12"/>
      <c r="B19" s="12"/>
      <c r="C19" s="20" t="str">
        <f t="shared" si="0"/>
        <v/>
      </c>
      <c r="D19" s="12"/>
      <c r="E19" s="20" t="str">
        <f t="shared" si="1"/>
        <v/>
      </c>
      <c r="F19" s="12"/>
      <c r="G19" s="20" t="str">
        <f t="shared" si="2"/>
        <v/>
      </c>
      <c r="H19" s="12"/>
      <c r="I19" s="20" t="str">
        <f t="shared" si="3"/>
        <v/>
      </c>
      <c r="J19" s="12"/>
      <c r="K19" s="20" t="str">
        <f t="shared" si="4"/>
        <v/>
      </c>
      <c r="L19" s="12"/>
      <c r="M19" s="20" t="str">
        <f t="shared" si="5"/>
        <v/>
      </c>
      <c r="N19" s="12"/>
      <c r="O19" s="20" t="str">
        <f t="shared" si="6"/>
        <v/>
      </c>
      <c r="P19" s="12"/>
      <c r="Q19" s="20" t="str">
        <f t="shared" si="7"/>
        <v/>
      </c>
      <c r="R19" s="12"/>
      <c r="S19" s="20" t="str">
        <f t="shared" si="8"/>
        <v/>
      </c>
      <c r="T19" s="12"/>
      <c r="U19" s="12"/>
    </row>
    <row r="20" spans="1:21" ht="15" customHeight="1" x14ac:dyDescent="0.25">
      <c r="A20" s="12"/>
      <c r="B20" s="12"/>
      <c r="C20" s="20" t="str">
        <f t="shared" si="0"/>
        <v/>
      </c>
      <c r="D20" s="12"/>
      <c r="E20" s="20" t="str">
        <f t="shared" si="1"/>
        <v/>
      </c>
      <c r="F20" s="12"/>
      <c r="G20" s="20" t="str">
        <f t="shared" si="2"/>
        <v/>
      </c>
      <c r="H20" s="12"/>
      <c r="I20" s="20" t="str">
        <f t="shared" si="3"/>
        <v/>
      </c>
      <c r="J20" s="12"/>
      <c r="K20" s="20" t="str">
        <f t="shared" si="4"/>
        <v/>
      </c>
      <c r="L20" s="12"/>
      <c r="M20" s="20" t="str">
        <f t="shared" si="5"/>
        <v/>
      </c>
      <c r="N20" s="12"/>
      <c r="O20" s="20" t="str">
        <f t="shared" si="6"/>
        <v/>
      </c>
      <c r="P20" s="12"/>
      <c r="Q20" s="20" t="str">
        <f t="shared" si="7"/>
        <v/>
      </c>
      <c r="R20" s="12"/>
      <c r="S20" s="20" t="str">
        <f t="shared" si="8"/>
        <v/>
      </c>
      <c r="T20" s="12"/>
      <c r="U20" s="12"/>
    </row>
    <row r="21" spans="1:21" ht="15" customHeight="1" x14ac:dyDescent="0.25">
      <c r="A21" s="12"/>
      <c r="B21" s="12"/>
      <c r="C21" s="20" t="str">
        <f t="shared" si="0"/>
        <v/>
      </c>
      <c r="D21" s="12"/>
      <c r="E21" s="20" t="str">
        <f t="shared" si="1"/>
        <v/>
      </c>
      <c r="F21" s="12"/>
      <c r="G21" s="20" t="str">
        <f t="shared" si="2"/>
        <v/>
      </c>
      <c r="H21" s="12"/>
      <c r="I21" s="20" t="str">
        <f t="shared" si="3"/>
        <v/>
      </c>
      <c r="J21" s="12"/>
      <c r="K21" s="20" t="str">
        <f t="shared" si="4"/>
        <v/>
      </c>
      <c r="L21" s="12"/>
      <c r="M21" s="20" t="str">
        <f t="shared" si="5"/>
        <v/>
      </c>
      <c r="N21" s="12"/>
      <c r="O21" s="20" t="str">
        <f t="shared" si="6"/>
        <v/>
      </c>
      <c r="P21" s="12"/>
      <c r="Q21" s="20" t="str">
        <f t="shared" si="7"/>
        <v/>
      </c>
      <c r="R21" s="12"/>
      <c r="S21" s="20" t="str">
        <f t="shared" si="8"/>
        <v/>
      </c>
      <c r="T21" s="12"/>
      <c r="U21" s="12"/>
    </row>
    <row r="22" spans="1:21" ht="15" customHeight="1" x14ac:dyDescent="0.25">
      <c r="A22" s="12"/>
      <c r="B22" s="12"/>
      <c r="C22" s="20" t="str">
        <f t="shared" si="0"/>
        <v/>
      </c>
      <c r="D22" s="12"/>
      <c r="E22" s="20" t="str">
        <f t="shared" si="1"/>
        <v/>
      </c>
      <c r="F22" s="12"/>
      <c r="G22" s="20" t="str">
        <f t="shared" si="2"/>
        <v/>
      </c>
      <c r="H22" s="12"/>
      <c r="I22" s="20" t="str">
        <f t="shared" si="3"/>
        <v/>
      </c>
      <c r="J22" s="12"/>
      <c r="K22" s="20" t="str">
        <f t="shared" si="4"/>
        <v/>
      </c>
      <c r="L22" s="12"/>
      <c r="M22" s="20" t="str">
        <f t="shared" si="5"/>
        <v/>
      </c>
      <c r="N22" s="12"/>
      <c r="O22" s="20" t="str">
        <f t="shared" si="6"/>
        <v/>
      </c>
      <c r="P22" s="12"/>
      <c r="Q22" s="20" t="str">
        <f t="shared" si="7"/>
        <v/>
      </c>
      <c r="R22" s="12"/>
      <c r="S22" s="20" t="str">
        <f t="shared" si="8"/>
        <v/>
      </c>
      <c r="T22" s="12"/>
      <c r="U22" s="12"/>
    </row>
    <row r="23" spans="1:21" ht="15" customHeight="1" x14ac:dyDescent="0.25">
      <c r="A23" s="12"/>
      <c r="B23" s="12"/>
      <c r="C23" s="20" t="str">
        <f t="shared" si="0"/>
        <v/>
      </c>
      <c r="D23" s="12"/>
      <c r="E23" s="20" t="str">
        <f t="shared" si="1"/>
        <v/>
      </c>
      <c r="F23" s="12"/>
      <c r="G23" s="20" t="str">
        <f t="shared" si="2"/>
        <v/>
      </c>
      <c r="H23" s="12"/>
      <c r="I23" s="20" t="str">
        <f t="shared" si="3"/>
        <v/>
      </c>
      <c r="J23" s="12"/>
      <c r="K23" s="20" t="str">
        <f t="shared" si="4"/>
        <v/>
      </c>
      <c r="L23" s="12"/>
      <c r="M23" s="20" t="str">
        <f t="shared" si="5"/>
        <v/>
      </c>
      <c r="N23" s="12"/>
      <c r="O23" s="20" t="str">
        <f t="shared" si="6"/>
        <v/>
      </c>
      <c r="P23" s="12"/>
      <c r="Q23" s="20" t="str">
        <f t="shared" si="7"/>
        <v/>
      </c>
      <c r="R23" s="12"/>
      <c r="S23" s="20" t="str">
        <f t="shared" si="8"/>
        <v/>
      </c>
      <c r="T23" s="12"/>
      <c r="U23" s="12"/>
    </row>
    <row r="24" spans="1:21" ht="15" customHeight="1" x14ac:dyDescent="0.25">
      <c r="A24" s="12"/>
      <c r="B24" s="12"/>
      <c r="C24" s="20" t="str">
        <f t="shared" si="0"/>
        <v/>
      </c>
      <c r="D24" s="12"/>
      <c r="E24" s="20" t="str">
        <f t="shared" si="1"/>
        <v/>
      </c>
      <c r="F24" s="12"/>
      <c r="G24" s="20" t="str">
        <f t="shared" si="2"/>
        <v/>
      </c>
      <c r="H24" s="12"/>
      <c r="I24" s="20" t="str">
        <f t="shared" si="3"/>
        <v/>
      </c>
      <c r="J24" s="12"/>
      <c r="K24" s="20" t="str">
        <f t="shared" si="4"/>
        <v/>
      </c>
      <c r="L24" s="12"/>
      <c r="M24" s="20" t="str">
        <f t="shared" si="5"/>
        <v/>
      </c>
      <c r="N24" s="12"/>
      <c r="O24" s="20" t="str">
        <f t="shared" si="6"/>
        <v/>
      </c>
      <c r="P24" s="12"/>
      <c r="Q24" s="20" t="str">
        <f t="shared" si="7"/>
        <v/>
      </c>
      <c r="R24" s="12"/>
      <c r="S24" s="20" t="str">
        <f t="shared" si="8"/>
        <v/>
      </c>
      <c r="T24" s="12"/>
      <c r="U24" s="12"/>
    </row>
    <row r="25" spans="1:21" ht="15" customHeight="1" x14ac:dyDescent="0.25">
      <c r="A25" s="12"/>
      <c r="B25" s="12"/>
      <c r="C25" s="20" t="str">
        <f t="shared" si="0"/>
        <v/>
      </c>
      <c r="D25" s="12"/>
      <c r="E25" s="20" t="str">
        <f t="shared" si="1"/>
        <v/>
      </c>
      <c r="F25" s="12"/>
      <c r="G25" s="20" t="str">
        <f t="shared" si="2"/>
        <v/>
      </c>
      <c r="H25" s="12"/>
      <c r="I25" s="20" t="str">
        <f t="shared" si="3"/>
        <v/>
      </c>
      <c r="J25" s="12"/>
      <c r="K25" s="20" t="str">
        <f t="shared" si="4"/>
        <v/>
      </c>
      <c r="L25" s="12"/>
      <c r="M25" s="20" t="str">
        <f t="shared" si="5"/>
        <v/>
      </c>
      <c r="N25" s="12"/>
      <c r="O25" s="20" t="str">
        <f t="shared" si="6"/>
        <v/>
      </c>
      <c r="P25" s="12"/>
      <c r="Q25" s="20" t="str">
        <f t="shared" si="7"/>
        <v/>
      </c>
      <c r="R25" s="12"/>
      <c r="S25" s="20" t="str">
        <f t="shared" si="8"/>
        <v/>
      </c>
      <c r="T25" s="12"/>
      <c r="U25" s="12"/>
    </row>
    <row r="26" spans="1:21" ht="15" customHeight="1" x14ac:dyDescent="0.25">
      <c r="A26" s="12"/>
      <c r="B26" s="12"/>
      <c r="C26" s="20" t="str">
        <f t="shared" si="0"/>
        <v/>
      </c>
      <c r="D26" s="12"/>
      <c r="E26" s="20" t="str">
        <f t="shared" si="1"/>
        <v/>
      </c>
      <c r="F26" s="12"/>
      <c r="G26" s="20" t="str">
        <f t="shared" si="2"/>
        <v/>
      </c>
      <c r="H26" s="12"/>
      <c r="I26" s="20" t="str">
        <f t="shared" si="3"/>
        <v/>
      </c>
      <c r="J26" s="12"/>
      <c r="K26" s="20" t="str">
        <f t="shared" si="4"/>
        <v/>
      </c>
      <c r="L26" s="12"/>
      <c r="M26" s="20" t="str">
        <f t="shared" si="5"/>
        <v/>
      </c>
      <c r="N26" s="12"/>
      <c r="O26" s="20" t="str">
        <f t="shared" si="6"/>
        <v/>
      </c>
      <c r="P26" s="12"/>
      <c r="Q26" s="20" t="str">
        <f t="shared" si="7"/>
        <v/>
      </c>
      <c r="R26" s="12"/>
      <c r="S26" s="20" t="str">
        <f t="shared" si="8"/>
        <v/>
      </c>
      <c r="T26" s="12"/>
      <c r="U26" s="12"/>
    </row>
    <row r="27" spans="1:21" ht="15" customHeight="1" x14ac:dyDescent="0.25">
      <c r="A27" s="12"/>
      <c r="B27" s="12"/>
      <c r="C27" s="20" t="str">
        <f t="shared" si="0"/>
        <v/>
      </c>
      <c r="D27" s="12"/>
      <c r="E27" s="20" t="str">
        <f t="shared" si="1"/>
        <v/>
      </c>
      <c r="F27" s="12"/>
      <c r="G27" s="20" t="str">
        <f t="shared" si="2"/>
        <v/>
      </c>
      <c r="H27" s="12"/>
      <c r="I27" s="20" t="str">
        <f t="shared" si="3"/>
        <v/>
      </c>
      <c r="J27" s="12"/>
      <c r="K27" s="20" t="str">
        <f t="shared" si="4"/>
        <v/>
      </c>
      <c r="L27" s="12"/>
      <c r="M27" s="20" t="str">
        <f t="shared" si="5"/>
        <v/>
      </c>
      <c r="N27" s="12"/>
      <c r="O27" s="20" t="str">
        <f t="shared" si="6"/>
        <v/>
      </c>
      <c r="P27" s="12"/>
      <c r="Q27" s="20" t="str">
        <f t="shared" si="7"/>
        <v/>
      </c>
      <c r="R27" s="12"/>
      <c r="S27" s="20" t="str">
        <f t="shared" si="8"/>
        <v/>
      </c>
      <c r="T27" s="12"/>
      <c r="U27" s="12"/>
    </row>
    <row r="28" spans="1:21" ht="15" customHeight="1" x14ac:dyDescent="0.25">
      <c r="A28" s="12"/>
      <c r="B28" s="12"/>
      <c r="C28" s="20" t="str">
        <f t="shared" si="0"/>
        <v/>
      </c>
      <c r="D28" s="12"/>
      <c r="E28" s="20" t="str">
        <f t="shared" si="1"/>
        <v/>
      </c>
      <c r="F28" s="12"/>
      <c r="G28" s="20" t="str">
        <f t="shared" si="2"/>
        <v/>
      </c>
      <c r="H28" s="12"/>
      <c r="I28" s="20" t="str">
        <f t="shared" si="3"/>
        <v/>
      </c>
      <c r="J28" s="12"/>
      <c r="K28" s="20" t="str">
        <f t="shared" si="4"/>
        <v/>
      </c>
      <c r="L28" s="12"/>
      <c r="M28" s="20" t="str">
        <f t="shared" si="5"/>
        <v/>
      </c>
      <c r="N28" s="12"/>
      <c r="O28" s="20" t="str">
        <f t="shared" si="6"/>
        <v/>
      </c>
      <c r="P28" s="12"/>
      <c r="Q28" s="20" t="str">
        <f t="shared" si="7"/>
        <v/>
      </c>
      <c r="R28" s="12"/>
      <c r="S28" s="20" t="str">
        <f t="shared" si="8"/>
        <v/>
      </c>
      <c r="T28" s="12"/>
      <c r="U28" s="12"/>
    </row>
    <row r="29" spans="1:21" ht="15" customHeight="1" x14ac:dyDescent="0.25">
      <c r="A29" s="12"/>
      <c r="B29" s="12"/>
      <c r="C29" s="20" t="str">
        <f t="shared" si="0"/>
        <v/>
      </c>
      <c r="D29" s="12"/>
      <c r="E29" s="20" t="str">
        <f t="shared" si="1"/>
        <v/>
      </c>
      <c r="F29" s="12"/>
      <c r="G29" s="20" t="str">
        <f t="shared" si="2"/>
        <v/>
      </c>
      <c r="H29" s="12"/>
      <c r="I29" s="20" t="str">
        <f t="shared" si="3"/>
        <v/>
      </c>
      <c r="J29" s="12"/>
      <c r="K29" s="20" t="str">
        <f t="shared" si="4"/>
        <v/>
      </c>
      <c r="L29" s="12"/>
      <c r="M29" s="20" t="str">
        <f t="shared" si="5"/>
        <v/>
      </c>
      <c r="N29" s="12"/>
      <c r="O29" s="20" t="str">
        <f t="shared" si="6"/>
        <v/>
      </c>
      <c r="P29" s="12"/>
      <c r="Q29" s="20" t="str">
        <f t="shared" si="7"/>
        <v/>
      </c>
      <c r="R29" s="12"/>
      <c r="S29" s="20" t="str">
        <f t="shared" si="8"/>
        <v/>
      </c>
      <c r="T29" s="12"/>
      <c r="U29" s="12"/>
    </row>
    <row r="30" spans="1:21" ht="15" customHeight="1" x14ac:dyDescent="0.25">
      <c r="A30" s="12"/>
      <c r="B30" s="12"/>
      <c r="C30" s="20" t="str">
        <f t="shared" si="0"/>
        <v/>
      </c>
      <c r="D30" s="12"/>
      <c r="E30" s="20" t="str">
        <f t="shared" si="1"/>
        <v/>
      </c>
      <c r="F30" s="12"/>
      <c r="G30" s="20" t="str">
        <f t="shared" si="2"/>
        <v/>
      </c>
      <c r="H30" s="12"/>
      <c r="I30" s="20" t="str">
        <f t="shared" si="3"/>
        <v/>
      </c>
      <c r="J30" s="12"/>
      <c r="K30" s="20" t="str">
        <f t="shared" si="4"/>
        <v/>
      </c>
      <c r="L30" s="12"/>
      <c r="M30" s="20" t="str">
        <f t="shared" si="5"/>
        <v/>
      </c>
      <c r="N30" s="12"/>
      <c r="O30" s="20" t="str">
        <f t="shared" si="6"/>
        <v/>
      </c>
      <c r="P30" s="12"/>
      <c r="Q30" s="20" t="str">
        <f t="shared" si="7"/>
        <v/>
      </c>
      <c r="R30" s="12"/>
      <c r="S30" s="20" t="str">
        <f t="shared" si="8"/>
        <v/>
      </c>
      <c r="T30" s="12"/>
      <c r="U30" s="12"/>
    </row>
    <row r="31" spans="1:21" ht="15" customHeight="1" x14ac:dyDescent="0.25">
      <c r="A31" s="12"/>
      <c r="B31" s="12"/>
      <c r="C31" s="20" t="str">
        <f t="shared" si="0"/>
        <v/>
      </c>
      <c r="D31" s="12"/>
      <c r="E31" s="20" t="str">
        <f t="shared" si="1"/>
        <v/>
      </c>
      <c r="F31" s="12"/>
      <c r="G31" s="20" t="str">
        <f t="shared" si="2"/>
        <v/>
      </c>
      <c r="H31" s="12"/>
      <c r="I31" s="20" t="str">
        <f t="shared" si="3"/>
        <v/>
      </c>
      <c r="J31" s="12"/>
      <c r="K31" s="20" t="str">
        <f t="shared" si="4"/>
        <v/>
      </c>
      <c r="L31" s="12"/>
      <c r="M31" s="20" t="str">
        <f t="shared" si="5"/>
        <v/>
      </c>
      <c r="N31" s="12"/>
      <c r="O31" s="20" t="str">
        <f t="shared" si="6"/>
        <v/>
      </c>
      <c r="P31" s="12"/>
      <c r="Q31" s="20" t="str">
        <f t="shared" si="7"/>
        <v/>
      </c>
      <c r="R31" s="12"/>
      <c r="S31" s="20" t="str">
        <f t="shared" si="8"/>
        <v/>
      </c>
      <c r="T31" s="12"/>
      <c r="U31" s="12"/>
    </row>
    <row r="32" spans="1:21" ht="15" customHeight="1" x14ac:dyDescent="0.25">
      <c r="A32" s="12"/>
      <c r="B32" s="12"/>
      <c r="C32" s="20" t="str">
        <f t="shared" si="0"/>
        <v/>
      </c>
      <c r="D32" s="12"/>
      <c r="E32" s="20" t="str">
        <f t="shared" si="1"/>
        <v/>
      </c>
      <c r="F32" s="12"/>
      <c r="G32" s="20" t="str">
        <f t="shared" si="2"/>
        <v/>
      </c>
      <c r="H32" s="12"/>
      <c r="I32" s="20" t="str">
        <f t="shared" si="3"/>
        <v/>
      </c>
      <c r="J32" s="12"/>
      <c r="K32" s="20" t="str">
        <f t="shared" si="4"/>
        <v/>
      </c>
      <c r="L32" s="12"/>
      <c r="M32" s="20" t="str">
        <f t="shared" si="5"/>
        <v/>
      </c>
      <c r="N32" s="12"/>
      <c r="O32" s="20" t="str">
        <f t="shared" si="6"/>
        <v/>
      </c>
      <c r="P32" s="12"/>
      <c r="Q32" s="20" t="str">
        <f t="shared" si="7"/>
        <v/>
      </c>
      <c r="R32" s="12"/>
      <c r="S32" s="20" t="str">
        <f t="shared" si="8"/>
        <v/>
      </c>
      <c r="T32" s="12"/>
      <c r="U32" s="12"/>
    </row>
    <row r="33" spans="1:21" ht="15" customHeight="1" x14ac:dyDescent="0.25">
      <c r="A33" s="12"/>
      <c r="B33" s="12"/>
      <c r="C33" s="20" t="str">
        <f t="shared" si="0"/>
        <v/>
      </c>
      <c r="D33" s="12"/>
      <c r="E33" s="20" t="str">
        <f t="shared" si="1"/>
        <v/>
      </c>
      <c r="F33" s="12"/>
      <c r="G33" s="20" t="str">
        <f t="shared" si="2"/>
        <v/>
      </c>
      <c r="H33" s="12"/>
      <c r="I33" s="20" t="str">
        <f t="shared" si="3"/>
        <v/>
      </c>
      <c r="J33" s="12"/>
      <c r="K33" s="20" t="str">
        <f t="shared" si="4"/>
        <v/>
      </c>
      <c r="L33" s="12"/>
      <c r="M33" s="20" t="str">
        <f t="shared" si="5"/>
        <v/>
      </c>
      <c r="N33" s="12"/>
      <c r="O33" s="20" t="str">
        <f t="shared" si="6"/>
        <v/>
      </c>
      <c r="P33" s="12"/>
      <c r="Q33" s="20" t="str">
        <f t="shared" si="7"/>
        <v/>
      </c>
      <c r="R33" s="12"/>
      <c r="S33" s="20" t="str">
        <f t="shared" si="8"/>
        <v/>
      </c>
      <c r="T33" s="12"/>
      <c r="U33" s="12"/>
    </row>
    <row r="34" spans="1:21" ht="15" customHeight="1" x14ac:dyDescent="0.25">
      <c r="A34" s="12"/>
      <c r="B34" s="12"/>
      <c r="C34" s="20" t="str">
        <f t="shared" ref="C34:C65" si="9">IF($A34="","",IF(TRIM(SUBSTITUTE(B34,CHAR(10)," "))="",0,LEN(TRIM(SUBSTITUTE(B34,CHAR(10)," ")))-LEN(SUBSTITUTE(TRIM(SUBSTITUTE(B34,CHAR(10)," "))," ",""))+1))</f>
        <v/>
      </c>
      <c r="D34" s="12"/>
      <c r="E34" s="20" t="str">
        <f t="shared" ref="E34:E65" si="10">IF($A34="","",IF(TRIM(SUBSTITUTE(D34,CHAR(10)," "))="",0,LEN(TRIM(SUBSTITUTE(D34,CHAR(10)," ")))-LEN(SUBSTITUTE(TRIM(SUBSTITUTE(D34,CHAR(10)," "))," ",""))+1))</f>
        <v/>
      </c>
      <c r="F34" s="12"/>
      <c r="G34" s="20" t="str">
        <f t="shared" ref="G34:G65" si="11">IF($A34="","",IF(TRIM(SUBSTITUTE(F34,CHAR(10)," "))="",0,LEN(TRIM(SUBSTITUTE(F34,CHAR(10)," ")))-LEN(SUBSTITUTE(TRIM(SUBSTITUTE(F34,CHAR(10)," "))," ",""))+1))</f>
        <v/>
      </c>
      <c r="H34" s="12"/>
      <c r="I34" s="20" t="str">
        <f t="shared" ref="I34:I65" si="12">IF($A34="","",IF(TRIM(SUBSTITUTE(H34,CHAR(10)," "))="",0,LEN(TRIM(SUBSTITUTE(H34,CHAR(10)," ")))-LEN(SUBSTITUTE(TRIM(SUBSTITUTE(H34,CHAR(10)," "))," ",""))+1))</f>
        <v/>
      </c>
      <c r="J34" s="12"/>
      <c r="K34" s="20" t="str">
        <f t="shared" ref="K34:K65" si="13">IF($A34="","",IF(TRIM(SUBSTITUTE(J34,CHAR(10)," "))="",0,LEN(TRIM(SUBSTITUTE(J34,CHAR(10)," ")))-LEN(SUBSTITUTE(TRIM(SUBSTITUTE(J34,CHAR(10)," "))," ",""))+1))</f>
        <v/>
      </c>
      <c r="L34" s="12"/>
      <c r="M34" s="20" t="str">
        <f t="shared" ref="M34:M65" si="14">IF($A34="","",IF(TRIM(SUBSTITUTE(L34,CHAR(10)," "))="",0,LEN(TRIM(SUBSTITUTE(L34,CHAR(10)," ")))-LEN(SUBSTITUTE(TRIM(SUBSTITUTE(L34,CHAR(10)," "))," ",""))+1))</f>
        <v/>
      </c>
      <c r="N34" s="12"/>
      <c r="O34" s="20" t="str">
        <f t="shared" ref="O34:O65" si="15">IF($A34="","",IF(TRIM(SUBSTITUTE(N34,CHAR(10)," "))="",0,LEN(TRIM(SUBSTITUTE(N34,CHAR(10)," ")))-LEN(SUBSTITUTE(TRIM(SUBSTITUTE(N34,CHAR(10)," "))," ",""))+1))</f>
        <v/>
      </c>
      <c r="P34" s="12"/>
      <c r="Q34" s="20" t="str">
        <f t="shared" ref="Q34:Q65" si="16">IF($A34="","",IF(TRIM(SUBSTITUTE(P34,CHAR(10)," "))="",0,LEN(TRIM(SUBSTITUTE(P34,CHAR(10)," ")))-LEN(SUBSTITUTE(TRIM(SUBSTITUTE(P34,CHAR(10)," "))," ",""))+1))</f>
        <v/>
      </c>
      <c r="R34" s="12"/>
      <c r="S34" s="20" t="str">
        <f t="shared" ref="S34:S65" si="17">IF($A34="","",IF(TRIM(SUBSTITUTE(R34,CHAR(10)," "))="",0,LEN(TRIM(SUBSTITUTE(R34,CHAR(10)," ")))-LEN(SUBSTITUTE(TRIM(SUBSTITUTE(R34,CHAR(10)," "))," ",""))+1))</f>
        <v/>
      </c>
      <c r="T34" s="12"/>
      <c r="U34" s="12"/>
    </row>
    <row r="35" spans="1:21" ht="15" customHeight="1" x14ac:dyDescent="0.25">
      <c r="A35" s="12"/>
      <c r="B35" s="12"/>
      <c r="C35" s="20" t="str">
        <f t="shared" si="9"/>
        <v/>
      </c>
      <c r="D35" s="12"/>
      <c r="E35" s="20" t="str">
        <f t="shared" si="10"/>
        <v/>
      </c>
      <c r="F35" s="12"/>
      <c r="G35" s="20" t="str">
        <f t="shared" si="11"/>
        <v/>
      </c>
      <c r="H35" s="12"/>
      <c r="I35" s="20" t="str">
        <f t="shared" si="12"/>
        <v/>
      </c>
      <c r="J35" s="12"/>
      <c r="K35" s="20" t="str">
        <f t="shared" si="13"/>
        <v/>
      </c>
      <c r="L35" s="12"/>
      <c r="M35" s="20" t="str">
        <f t="shared" si="14"/>
        <v/>
      </c>
      <c r="N35" s="12"/>
      <c r="O35" s="20" t="str">
        <f t="shared" si="15"/>
        <v/>
      </c>
      <c r="P35" s="12"/>
      <c r="Q35" s="20" t="str">
        <f t="shared" si="16"/>
        <v/>
      </c>
      <c r="R35" s="12"/>
      <c r="S35" s="20" t="str">
        <f t="shared" si="17"/>
        <v/>
      </c>
      <c r="T35" s="12"/>
      <c r="U35" s="12"/>
    </row>
    <row r="36" spans="1:21" ht="15" customHeight="1" x14ac:dyDescent="0.25">
      <c r="A36" s="12"/>
      <c r="B36" s="12"/>
      <c r="C36" s="20" t="str">
        <f t="shared" si="9"/>
        <v/>
      </c>
      <c r="D36" s="12"/>
      <c r="E36" s="20" t="str">
        <f t="shared" si="10"/>
        <v/>
      </c>
      <c r="F36" s="12"/>
      <c r="G36" s="20" t="str">
        <f t="shared" si="11"/>
        <v/>
      </c>
      <c r="H36" s="12"/>
      <c r="I36" s="20" t="str">
        <f t="shared" si="12"/>
        <v/>
      </c>
      <c r="J36" s="12"/>
      <c r="K36" s="20" t="str">
        <f t="shared" si="13"/>
        <v/>
      </c>
      <c r="L36" s="12"/>
      <c r="M36" s="20" t="str">
        <f t="shared" si="14"/>
        <v/>
      </c>
      <c r="N36" s="12"/>
      <c r="O36" s="20" t="str">
        <f t="shared" si="15"/>
        <v/>
      </c>
      <c r="P36" s="12"/>
      <c r="Q36" s="20" t="str">
        <f t="shared" si="16"/>
        <v/>
      </c>
      <c r="R36" s="12"/>
      <c r="S36" s="20" t="str">
        <f t="shared" si="17"/>
        <v/>
      </c>
      <c r="T36" s="12"/>
      <c r="U36" s="12"/>
    </row>
    <row r="37" spans="1:21" ht="15" customHeight="1" x14ac:dyDescent="0.25">
      <c r="A37" s="12"/>
      <c r="B37" s="12"/>
      <c r="C37" s="20" t="str">
        <f t="shared" si="9"/>
        <v/>
      </c>
      <c r="D37" s="12"/>
      <c r="E37" s="20" t="str">
        <f t="shared" si="10"/>
        <v/>
      </c>
      <c r="F37" s="12"/>
      <c r="G37" s="20" t="str">
        <f t="shared" si="11"/>
        <v/>
      </c>
      <c r="H37" s="12"/>
      <c r="I37" s="20" t="str">
        <f t="shared" si="12"/>
        <v/>
      </c>
      <c r="J37" s="12"/>
      <c r="K37" s="20" t="str">
        <f t="shared" si="13"/>
        <v/>
      </c>
      <c r="L37" s="12"/>
      <c r="M37" s="20" t="str">
        <f t="shared" si="14"/>
        <v/>
      </c>
      <c r="N37" s="12"/>
      <c r="O37" s="20" t="str">
        <f t="shared" si="15"/>
        <v/>
      </c>
      <c r="P37" s="12"/>
      <c r="Q37" s="20" t="str">
        <f t="shared" si="16"/>
        <v/>
      </c>
      <c r="R37" s="12"/>
      <c r="S37" s="20" t="str">
        <f t="shared" si="17"/>
        <v/>
      </c>
      <c r="T37" s="12"/>
      <c r="U37" s="12"/>
    </row>
    <row r="38" spans="1:21" ht="15" customHeight="1" x14ac:dyDescent="0.25">
      <c r="A38" s="12"/>
      <c r="B38" s="12"/>
      <c r="C38" s="20" t="str">
        <f t="shared" si="9"/>
        <v/>
      </c>
      <c r="D38" s="12"/>
      <c r="E38" s="20" t="str">
        <f t="shared" si="10"/>
        <v/>
      </c>
      <c r="F38" s="12"/>
      <c r="G38" s="20" t="str">
        <f t="shared" si="11"/>
        <v/>
      </c>
      <c r="H38" s="12"/>
      <c r="I38" s="20" t="str">
        <f t="shared" si="12"/>
        <v/>
      </c>
      <c r="J38" s="12"/>
      <c r="K38" s="20" t="str">
        <f t="shared" si="13"/>
        <v/>
      </c>
      <c r="L38" s="12"/>
      <c r="M38" s="20" t="str">
        <f t="shared" si="14"/>
        <v/>
      </c>
      <c r="N38" s="12"/>
      <c r="O38" s="20" t="str">
        <f t="shared" si="15"/>
        <v/>
      </c>
      <c r="P38" s="12"/>
      <c r="Q38" s="20" t="str">
        <f t="shared" si="16"/>
        <v/>
      </c>
      <c r="R38" s="12"/>
      <c r="S38" s="20" t="str">
        <f t="shared" si="17"/>
        <v/>
      </c>
      <c r="T38" s="12"/>
      <c r="U38" s="12"/>
    </row>
    <row r="39" spans="1:21" ht="15" customHeight="1" x14ac:dyDescent="0.25">
      <c r="A39" s="12"/>
      <c r="B39" s="12"/>
      <c r="C39" s="20" t="str">
        <f t="shared" si="9"/>
        <v/>
      </c>
      <c r="D39" s="12"/>
      <c r="E39" s="20" t="str">
        <f t="shared" si="10"/>
        <v/>
      </c>
      <c r="F39" s="12"/>
      <c r="G39" s="20" t="str">
        <f t="shared" si="11"/>
        <v/>
      </c>
      <c r="H39" s="12"/>
      <c r="I39" s="20" t="str">
        <f t="shared" si="12"/>
        <v/>
      </c>
      <c r="J39" s="12"/>
      <c r="K39" s="20" t="str">
        <f t="shared" si="13"/>
        <v/>
      </c>
      <c r="L39" s="12"/>
      <c r="M39" s="20" t="str">
        <f t="shared" si="14"/>
        <v/>
      </c>
      <c r="N39" s="12"/>
      <c r="O39" s="20" t="str">
        <f t="shared" si="15"/>
        <v/>
      </c>
      <c r="P39" s="12"/>
      <c r="Q39" s="20" t="str">
        <f t="shared" si="16"/>
        <v/>
      </c>
      <c r="R39" s="12"/>
      <c r="S39" s="20" t="str">
        <f t="shared" si="17"/>
        <v/>
      </c>
      <c r="T39" s="12"/>
      <c r="U39" s="12"/>
    </row>
    <row r="40" spans="1:21" ht="15" customHeight="1" x14ac:dyDescent="0.25">
      <c r="A40" s="12"/>
      <c r="B40" s="12"/>
      <c r="C40" s="20" t="str">
        <f t="shared" si="9"/>
        <v/>
      </c>
      <c r="D40" s="12"/>
      <c r="E40" s="20" t="str">
        <f t="shared" si="10"/>
        <v/>
      </c>
      <c r="F40" s="12"/>
      <c r="G40" s="20" t="str">
        <f t="shared" si="11"/>
        <v/>
      </c>
      <c r="H40" s="12"/>
      <c r="I40" s="20" t="str">
        <f t="shared" si="12"/>
        <v/>
      </c>
      <c r="J40" s="12"/>
      <c r="K40" s="20" t="str">
        <f t="shared" si="13"/>
        <v/>
      </c>
      <c r="L40" s="12"/>
      <c r="M40" s="20" t="str">
        <f t="shared" si="14"/>
        <v/>
      </c>
      <c r="N40" s="12"/>
      <c r="O40" s="20" t="str">
        <f t="shared" si="15"/>
        <v/>
      </c>
      <c r="P40" s="12"/>
      <c r="Q40" s="20" t="str">
        <f t="shared" si="16"/>
        <v/>
      </c>
      <c r="R40" s="12"/>
      <c r="S40" s="20" t="str">
        <f t="shared" si="17"/>
        <v/>
      </c>
      <c r="T40" s="12"/>
      <c r="U40" s="12"/>
    </row>
    <row r="41" spans="1:21" ht="15" customHeight="1" x14ac:dyDescent="0.25">
      <c r="A41" s="12"/>
      <c r="B41" s="12"/>
      <c r="C41" s="20" t="str">
        <f t="shared" si="9"/>
        <v/>
      </c>
      <c r="D41" s="12"/>
      <c r="E41" s="20" t="str">
        <f t="shared" si="10"/>
        <v/>
      </c>
      <c r="F41" s="12"/>
      <c r="G41" s="20" t="str">
        <f t="shared" si="11"/>
        <v/>
      </c>
      <c r="H41" s="12"/>
      <c r="I41" s="20" t="str">
        <f t="shared" si="12"/>
        <v/>
      </c>
      <c r="J41" s="12"/>
      <c r="K41" s="20" t="str">
        <f t="shared" si="13"/>
        <v/>
      </c>
      <c r="L41" s="12"/>
      <c r="M41" s="20" t="str">
        <f t="shared" si="14"/>
        <v/>
      </c>
      <c r="N41" s="12"/>
      <c r="O41" s="20" t="str">
        <f t="shared" si="15"/>
        <v/>
      </c>
      <c r="P41" s="12"/>
      <c r="Q41" s="20" t="str">
        <f t="shared" si="16"/>
        <v/>
      </c>
      <c r="R41" s="12"/>
      <c r="S41" s="20" t="str">
        <f t="shared" si="17"/>
        <v/>
      </c>
      <c r="T41" s="12"/>
      <c r="U41" s="12"/>
    </row>
    <row r="42" spans="1:21" ht="15" customHeight="1" x14ac:dyDescent="0.25">
      <c r="A42" s="12"/>
      <c r="B42" s="12"/>
      <c r="C42" s="20" t="str">
        <f t="shared" si="9"/>
        <v/>
      </c>
      <c r="D42" s="12"/>
      <c r="E42" s="20" t="str">
        <f t="shared" si="10"/>
        <v/>
      </c>
      <c r="F42" s="12"/>
      <c r="G42" s="20" t="str">
        <f t="shared" si="11"/>
        <v/>
      </c>
      <c r="H42" s="12"/>
      <c r="I42" s="20" t="str">
        <f t="shared" si="12"/>
        <v/>
      </c>
      <c r="J42" s="12"/>
      <c r="K42" s="20" t="str">
        <f t="shared" si="13"/>
        <v/>
      </c>
      <c r="L42" s="12"/>
      <c r="M42" s="20" t="str">
        <f t="shared" si="14"/>
        <v/>
      </c>
      <c r="N42" s="12"/>
      <c r="O42" s="20" t="str">
        <f t="shared" si="15"/>
        <v/>
      </c>
      <c r="P42" s="12"/>
      <c r="Q42" s="20" t="str">
        <f t="shared" si="16"/>
        <v/>
      </c>
      <c r="R42" s="12"/>
      <c r="S42" s="20" t="str">
        <f t="shared" si="17"/>
        <v/>
      </c>
      <c r="T42" s="12"/>
      <c r="U42" s="12"/>
    </row>
    <row r="43" spans="1:21" ht="15" customHeight="1" x14ac:dyDescent="0.25">
      <c r="A43" s="12"/>
      <c r="B43" s="12"/>
      <c r="C43" s="20" t="str">
        <f t="shared" si="9"/>
        <v/>
      </c>
      <c r="D43" s="12"/>
      <c r="E43" s="20" t="str">
        <f t="shared" si="10"/>
        <v/>
      </c>
      <c r="F43" s="12"/>
      <c r="G43" s="20" t="str">
        <f t="shared" si="11"/>
        <v/>
      </c>
      <c r="H43" s="12"/>
      <c r="I43" s="20" t="str">
        <f t="shared" si="12"/>
        <v/>
      </c>
      <c r="J43" s="12"/>
      <c r="K43" s="20" t="str">
        <f t="shared" si="13"/>
        <v/>
      </c>
      <c r="L43" s="12"/>
      <c r="M43" s="20" t="str">
        <f t="shared" si="14"/>
        <v/>
      </c>
      <c r="N43" s="12"/>
      <c r="O43" s="20" t="str">
        <f t="shared" si="15"/>
        <v/>
      </c>
      <c r="P43" s="12"/>
      <c r="Q43" s="20" t="str">
        <f t="shared" si="16"/>
        <v/>
      </c>
      <c r="R43" s="12"/>
      <c r="S43" s="20" t="str">
        <f t="shared" si="17"/>
        <v/>
      </c>
      <c r="T43" s="12"/>
      <c r="U43" s="12"/>
    </row>
    <row r="44" spans="1:21" ht="15" customHeight="1" x14ac:dyDescent="0.25">
      <c r="A44" s="12"/>
      <c r="B44" s="12"/>
      <c r="C44" s="20" t="str">
        <f t="shared" si="9"/>
        <v/>
      </c>
      <c r="D44" s="12"/>
      <c r="E44" s="20" t="str">
        <f t="shared" si="10"/>
        <v/>
      </c>
      <c r="F44" s="12"/>
      <c r="G44" s="20" t="str">
        <f t="shared" si="11"/>
        <v/>
      </c>
      <c r="H44" s="12"/>
      <c r="I44" s="20" t="str">
        <f t="shared" si="12"/>
        <v/>
      </c>
      <c r="J44" s="12"/>
      <c r="K44" s="20" t="str">
        <f t="shared" si="13"/>
        <v/>
      </c>
      <c r="L44" s="12"/>
      <c r="M44" s="20" t="str">
        <f t="shared" si="14"/>
        <v/>
      </c>
      <c r="N44" s="12"/>
      <c r="O44" s="20" t="str">
        <f t="shared" si="15"/>
        <v/>
      </c>
      <c r="P44" s="12"/>
      <c r="Q44" s="20" t="str">
        <f t="shared" si="16"/>
        <v/>
      </c>
      <c r="R44" s="12"/>
      <c r="S44" s="20" t="str">
        <f t="shared" si="17"/>
        <v/>
      </c>
      <c r="T44" s="12"/>
      <c r="U44" s="12"/>
    </row>
    <row r="45" spans="1:21" ht="15" customHeight="1" x14ac:dyDescent="0.25">
      <c r="A45" s="12"/>
      <c r="B45" s="12"/>
      <c r="C45" s="20" t="str">
        <f t="shared" si="9"/>
        <v/>
      </c>
      <c r="D45" s="12"/>
      <c r="E45" s="20" t="str">
        <f t="shared" si="10"/>
        <v/>
      </c>
      <c r="F45" s="12"/>
      <c r="G45" s="20" t="str">
        <f t="shared" si="11"/>
        <v/>
      </c>
      <c r="H45" s="12"/>
      <c r="I45" s="20" t="str">
        <f t="shared" si="12"/>
        <v/>
      </c>
      <c r="J45" s="12"/>
      <c r="K45" s="20" t="str">
        <f t="shared" si="13"/>
        <v/>
      </c>
      <c r="L45" s="12"/>
      <c r="M45" s="20" t="str">
        <f t="shared" si="14"/>
        <v/>
      </c>
      <c r="N45" s="12"/>
      <c r="O45" s="20" t="str">
        <f t="shared" si="15"/>
        <v/>
      </c>
      <c r="P45" s="12"/>
      <c r="Q45" s="20" t="str">
        <f t="shared" si="16"/>
        <v/>
      </c>
      <c r="R45" s="12"/>
      <c r="S45" s="20" t="str">
        <f t="shared" si="17"/>
        <v/>
      </c>
      <c r="T45" s="12"/>
      <c r="U45" s="12"/>
    </row>
    <row r="46" spans="1:21" ht="15" customHeight="1" x14ac:dyDescent="0.25">
      <c r="A46" s="12"/>
      <c r="B46" s="12"/>
      <c r="C46" s="20" t="str">
        <f t="shared" si="9"/>
        <v/>
      </c>
      <c r="D46" s="12"/>
      <c r="E46" s="20" t="str">
        <f t="shared" si="10"/>
        <v/>
      </c>
      <c r="F46" s="12"/>
      <c r="G46" s="20" t="str">
        <f t="shared" si="11"/>
        <v/>
      </c>
      <c r="H46" s="12"/>
      <c r="I46" s="20" t="str">
        <f t="shared" si="12"/>
        <v/>
      </c>
      <c r="J46" s="12"/>
      <c r="K46" s="20" t="str">
        <f t="shared" si="13"/>
        <v/>
      </c>
      <c r="L46" s="12"/>
      <c r="M46" s="20" t="str">
        <f t="shared" si="14"/>
        <v/>
      </c>
      <c r="N46" s="12"/>
      <c r="O46" s="20" t="str">
        <f t="shared" si="15"/>
        <v/>
      </c>
      <c r="P46" s="12"/>
      <c r="Q46" s="20" t="str">
        <f t="shared" si="16"/>
        <v/>
      </c>
      <c r="R46" s="12"/>
      <c r="S46" s="20" t="str">
        <f t="shared" si="17"/>
        <v/>
      </c>
      <c r="T46" s="12"/>
      <c r="U46" s="12"/>
    </row>
    <row r="47" spans="1:21" ht="15" customHeight="1" x14ac:dyDescent="0.25">
      <c r="A47" s="12"/>
      <c r="B47" s="12"/>
      <c r="C47" s="20" t="str">
        <f t="shared" si="9"/>
        <v/>
      </c>
      <c r="D47" s="12"/>
      <c r="E47" s="20" t="str">
        <f t="shared" si="10"/>
        <v/>
      </c>
      <c r="F47" s="12"/>
      <c r="G47" s="20" t="str">
        <f t="shared" si="11"/>
        <v/>
      </c>
      <c r="H47" s="12"/>
      <c r="I47" s="20" t="str">
        <f t="shared" si="12"/>
        <v/>
      </c>
      <c r="J47" s="12"/>
      <c r="K47" s="20" t="str">
        <f t="shared" si="13"/>
        <v/>
      </c>
      <c r="L47" s="12"/>
      <c r="M47" s="20" t="str">
        <f t="shared" si="14"/>
        <v/>
      </c>
      <c r="N47" s="12"/>
      <c r="O47" s="20" t="str">
        <f t="shared" si="15"/>
        <v/>
      </c>
      <c r="P47" s="12"/>
      <c r="Q47" s="20" t="str">
        <f t="shared" si="16"/>
        <v/>
      </c>
      <c r="R47" s="12"/>
      <c r="S47" s="20" t="str">
        <f t="shared" si="17"/>
        <v/>
      </c>
      <c r="T47" s="12"/>
      <c r="U47" s="12"/>
    </row>
    <row r="48" spans="1:21" ht="15" customHeight="1" x14ac:dyDescent="0.25">
      <c r="A48" s="12"/>
      <c r="B48" s="12"/>
      <c r="C48" s="20" t="str">
        <f t="shared" si="9"/>
        <v/>
      </c>
      <c r="D48" s="12"/>
      <c r="E48" s="20" t="str">
        <f t="shared" si="10"/>
        <v/>
      </c>
      <c r="F48" s="12"/>
      <c r="G48" s="20" t="str">
        <f t="shared" si="11"/>
        <v/>
      </c>
      <c r="H48" s="12"/>
      <c r="I48" s="20" t="str">
        <f t="shared" si="12"/>
        <v/>
      </c>
      <c r="J48" s="12"/>
      <c r="K48" s="20" t="str">
        <f t="shared" si="13"/>
        <v/>
      </c>
      <c r="L48" s="12"/>
      <c r="M48" s="20" t="str">
        <f t="shared" si="14"/>
        <v/>
      </c>
      <c r="N48" s="12"/>
      <c r="O48" s="20" t="str">
        <f t="shared" si="15"/>
        <v/>
      </c>
      <c r="P48" s="12"/>
      <c r="Q48" s="20" t="str">
        <f t="shared" si="16"/>
        <v/>
      </c>
      <c r="R48" s="12"/>
      <c r="S48" s="20" t="str">
        <f t="shared" si="17"/>
        <v/>
      </c>
      <c r="T48" s="12"/>
      <c r="U48" s="12"/>
    </row>
    <row r="49" spans="1:21" ht="15" customHeight="1" x14ac:dyDescent="0.25">
      <c r="A49" s="12"/>
      <c r="B49" s="12"/>
      <c r="C49" s="20" t="str">
        <f t="shared" si="9"/>
        <v/>
      </c>
      <c r="D49" s="12"/>
      <c r="E49" s="20" t="str">
        <f t="shared" si="10"/>
        <v/>
      </c>
      <c r="F49" s="12"/>
      <c r="G49" s="20" t="str">
        <f t="shared" si="11"/>
        <v/>
      </c>
      <c r="H49" s="12"/>
      <c r="I49" s="20" t="str">
        <f t="shared" si="12"/>
        <v/>
      </c>
      <c r="J49" s="12"/>
      <c r="K49" s="20" t="str">
        <f t="shared" si="13"/>
        <v/>
      </c>
      <c r="L49" s="12"/>
      <c r="M49" s="20" t="str">
        <f t="shared" si="14"/>
        <v/>
      </c>
      <c r="N49" s="12"/>
      <c r="O49" s="20" t="str">
        <f t="shared" si="15"/>
        <v/>
      </c>
      <c r="P49" s="12"/>
      <c r="Q49" s="20" t="str">
        <f t="shared" si="16"/>
        <v/>
      </c>
      <c r="R49" s="12"/>
      <c r="S49" s="20" t="str">
        <f t="shared" si="17"/>
        <v/>
      </c>
      <c r="T49" s="12"/>
      <c r="U49" s="12"/>
    </row>
    <row r="50" spans="1:21" ht="15" customHeight="1" x14ac:dyDescent="0.25">
      <c r="A50" s="12"/>
      <c r="B50" s="12"/>
      <c r="C50" s="20" t="str">
        <f t="shared" si="9"/>
        <v/>
      </c>
      <c r="D50" s="12"/>
      <c r="E50" s="20" t="str">
        <f t="shared" si="10"/>
        <v/>
      </c>
      <c r="F50" s="12"/>
      <c r="G50" s="20" t="str">
        <f t="shared" si="11"/>
        <v/>
      </c>
      <c r="H50" s="12"/>
      <c r="I50" s="20" t="str">
        <f t="shared" si="12"/>
        <v/>
      </c>
      <c r="J50" s="12"/>
      <c r="K50" s="20" t="str">
        <f t="shared" si="13"/>
        <v/>
      </c>
      <c r="L50" s="12"/>
      <c r="M50" s="20" t="str">
        <f t="shared" si="14"/>
        <v/>
      </c>
      <c r="N50" s="12"/>
      <c r="O50" s="20" t="str">
        <f t="shared" si="15"/>
        <v/>
      </c>
      <c r="P50" s="12"/>
      <c r="Q50" s="20" t="str">
        <f t="shared" si="16"/>
        <v/>
      </c>
      <c r="R50" s="12"/>
      <c r="S50" s="20" t="str">
        <f t="shared" si="17"/>
        <v/>
      </c>
      <c r="T50" s="12"/>
      <c r="U50" s="12"/>
    </row>
    <row r="51" spans="1:21" ht="15" customHeight="1" x14ac:dyDescent="0.25">
      <c r="A51" s="12"/>
      <c r="B51" s="12"/>
      <c r="C51" s="20" t="str">
        <f t="shared" si="9"/>
        <v/>
      </c>
      <c r="D51" s="12"/>
      <c r="E51" s="20" t="str">
        <f t="shared" si="10"/>
        <v/>
      </c>
      <c r="F51" s="12"/>
      <c r="G51" s="20" t="str">
        <f t="shared" si="11"/>
        <v/>
      </c>
      <c r="H51" s="12"/>
      <c r="I51" s="20" t="str">
        <f t="shared" si="12"/>
        <v/>
      </c>
      <c r="J51" s="12"/>
      <c r="K51" s="20" t="str">
        <f t="shared" si="13"/>
        <v/>
      </c>
      <c r="L51" s="12"/>
      <c r="M51" s="20" t="str">
        <f t="shared" si="14"/>
        <v/>
      </c>
      <c r="N51" s="12"/>
      <c r="O51" s="20" t="str">
        <f t="shared" si="15"/>
        <v/>
      </c>
      <c r="P51" s="12"/>
      <c r="Q51" s="20" t="str">
        <f t="shared" si="16"/>
        <v/>
      </c>
      <c r="R51" s="12"/>
      <c r="S51" s="20" t="str">
        <f t="shared" si="17"/>
        <v/>
      </c>
      <c r="T51" s="12"/>
      <c r="U51" s="12"/>
    </row>
    <row r="52" spans="1:21" ht="15" customHeight="1" x14ac:dyDescent="0.25">
      <c r="A52" s="12"/>
      <c r="B52" s="12"/>
      <c r="C52" s="20" t="str">
        <f t="shared" si="9"/>
        <v/>
      </c>
      <c r="D52" s="12"/>
      <c r="E52" s="20" t="str">
        <f t="shared" si="10"/>
        <v/>
      </c>
      <c r="F52" s="12"/>
      <c r="G52" s="20" t="str">
        <f t="shared" si="11"/>
        <v/>
      </c>
      <c r="H52" s="12"/>
      <c r="I52" s="20" t="str">
        <f t="shared" si="12"/>
        <v/>
      </c>
      <c r="J52" s="12"/>
      <c r="K52" s="20" t="str">
        <f t="shared" si="13"/>
        <v/>
      </c>
      <c r="L52" s="12"/>
      <c r="M52" s="20" t="str">
        <f t="shared" si="14"/>
        <v/>
      </c>
      <c r="N52" s="12"/>
      <c r="O52" s="20" t="str">
        <f t="shared" si="15"/>
        <v/>
      </c>
      <c r="P52" s="12"/>
      <c r="Q52" s="20" t="str">
        <f t="shared" si="16"/>
        <v/>
      </c>
      <c r="R52" s="12"/>
      <c r="S52" s="20" t="str">
        <f t="shared" si="17"/>
        <v/>
      </c>
      <c r="T52" s="12"/>
      <c r="U52" s="12"/>
    </row>
    <row r="53" spans="1:21" ht="15" customHeight="1" x14ac:dyDescent="0.25">
      <c r="A53" s="12"/>
      <c r="B53" s="12"/>
      <c r="C53" s="20" t="str">
        <f t="shared" si="9"/>
        <v/>
      </c>
      <c r="D53" s="12"/>
      <c r="E53" s="20" t="str">
        <f t="shared" si="10"/>
        <v/>
      </c>
      <c r="F53" s="12"/>
      <c r="G53" s="20" t="str">
        <f t="shared" si="11"/>
        <v/>
      </c>
      <c r="H53" s="12"/>
      <c r="I53" s="20" t="str">
        <f t="shared" si="12"/>
        <v/>
      </c>
      <c r="J53" s="12"/>
      <c r="K53" s="20" t="str">
        <f t="shared" si="13"/>
        <v/>
      </c>
      <c r="L53" s="12"/>
      <c r="M53" s="20" t="str">
        <f t="shared" si="14"/>
        <v/>
      </c>
      <c r="N53" s="12"/>
      <c r="O53" s="20" t="str">
        <f t="shared" si="15"/>
        <v/>
      </c>
      <c r="P53" s="12"/>
      <c r="Q53" s="20" t="str">
        <f t="shared" si="16"/>
        <v/>
      </c>
      <c r="R53" s="12"/>
      <c r="S53" s="20" t="str">
        <f t="shared" si="17"/>
        <v/>
      </c>
      <c r="T53" s="12"/>
      <c r="U53" s="12"/>
    </row>
    <row r="54" spans="1:21" ht="15" customHeight="1" x14ac:dyDescent="0.25">
      <c r="A54" s="12"/>
      <c r="B54" s="12"/>
      <c r="C54" s="20" t="str">
        <f t="shared" si="9"/>
        <v/>
      </c>
      <c r="D54" s="12"/>
      <c r="E54" s="20" t="str">
        <f t="shared" si="10"/>
        <v/>
      </c>
      <c r="F54" s="12"/>
      <c r="G54" s="20" t="str">
        <f t="shared" si="11"/>
        <v/>
      </c>
      <c r="H54" s="12"/>
      <c r="I54" s="20" t="str">
        <f t="shared" si="12"/>
        <v/>
      </c>
      <c r="J54" s="12"/>
      <c r="K54" s="20" t="str">
        <f t="shared" si="13"/>
        <v/>
      </c>
      <c r="L54" s="12"/>
      <c r="M54" s="20" t="str">
        <f t="shared" si="14"/>
        <v/>
      </c>
      <c r="N54" s="12"/>
      <c r="O54" s="20" t="str">
        <f t="shared" si="15"/>
        <v/>
      </c>
      <c r="P54" s="12"/>
      <c r="Q54" s="20" t="str">
        <f t="shared" si="16"/>
        <v/>
      </c>
      <c r="R54" s="12"/>
      <c r="S54" s="20" t="str">
        <f t="shared" si="17"/>
        <v/>
      </c>
      <c r="T54" s="12"/>
      <c r="U54" s="12"/>
    </row>
    <row r="55" spans="1:21" ht="15" customHeight="1" x14ac:dyDescent="0.25">
      <c r="A55" s="12"/>
      <c r="B55" s="12"/>
      <c r="C55" s="20" t="str">
        <f t="shared" si="9"/>
        <v/>
      </c>
      <c r="D55" s="12"/>
      <c r="E55" s="20" t="str">
        <f t="shared" si="10"/>
        <v/>
      </c>
      <c r="F55" s="12"/>
      <c r="G55" s="20" t="str">
        <f t="shared" si="11"/>
        <v/>
      </c>
      <c r="H55" s="12"/>
      <c r="I55" s="20" t="str">
        <f t="shared" si="12"/>
        <v/>
      </c>
      <c r="J55" s="12"/>
      <c r="K55" s="20" t="str">
        <f t="shared" si="13"/>
        <v/>
      </c>
      <c r="L55" s="12"/>
      <c r="M55" s="20" t="str">
        <f t="shared" si="14"/>
        <v/>
      </c>
      <c r="N55" s="12"/>
      <c r="O55" s="20" t="str">
        <f t="shared" si="15"/>
        <v/>
      </c>
      <c r="P55" s="12"/>
      <c r="Q55" s="20" t="str">
        <f t="shared" si="16"/>
        <v/>
      </c>
      <c r="R55" s="12"/>
      <c r="S55" s="20" t="str">
        <f t="shared" si="17"/>
        <v/>
      </c>
      <c r="T55" s="12"/>
      <c r="U55" s="12"/>
    </row>
    <row r="56" spans="1:21" ht="15" customHeight="1" x14ac:dyDescent="0.25">
      <c r="A56" s="12"/>
      <c r="B56" s="12"/>
      <c r="C56" s="20" t="str">
        <f t="shared" si="9"/>
        <v/>
      </c>
      <c r="D56" s="12"/>
      <c r="E56" s="20" t="str">
        <f t="shared" si="10"/>
        <v/>
      </c>
      <c r="F56" s="12"/>
      <c r="G56" s="20" t="str">
        <f t="shared" si="11"/>
        <v/>
      </c>
      <c r="H56" s="12"/>
      <c r="I56" s="20" t="str">
        <f t="shared" si="12"/>
        <v/>
      </c>
      <c r="J56" s="12"/>
      <c r="K56" s="20" t="str">
        <f t="shared" si="13"/>
        <v/>
      </c>
      <c r="L56" s="12"/>
      <c r="M56" s="20" t="str">
        <f t="shared" si="14"/>
        <v/>
      </c>
      <c r="N56" s="12"/>
      <c r="O56" s="20" t="str">
        <f t="shared" si="15"/>
        <v/>
      </c>
      <c r="P56" s="12"/>
      <c r="Q56" s="20" t="str">
        <f t="shared" si="16"/>
        <v/>
      </c>
      <c r="R56" s="12"/>
      <c r="S56" s="20" t="str">
        <f t="shared" si="17"/>
        <v/>
      </c>
      <c r="T56" s="12"/>
      <c r="U56" s="12"/>
    </row>
    <row r="57" spans="1:21" ht="15" customHeight="1" x14ac:dyDescent="0.25">
      <c r="A57" s="12"/>
      <c r="B57" s="12"/>
      <c r="C57" s="20" t="str">
        <f t="shared" si="9"/>
        <v/>
      </c>
      <c r="D57" s="12"/>
      <c r="E57" s="20" t="str">
        <f t="shared" si="10"/>
        <v/>
      </c>
      <c r="F57" s="12"/>
      <c r="G57" s="20" t="str">
        <f t="shared" si="11"/>
        <v/>
      </c>
      <c r="H57" s="12"/>
      <c r="I57" s="20" t="str">
        <f t="shared" si="12"/>
        <v/>
      </c>
      <c r="J57" s="12"/>
      <c r="K57" s="20" t="str">
        <f t="shared" si="13"/>
        <v/>
      </c>
      <c r="L57" s="12"/>
      <c r="M57" s="20" t="str">
        <f t="shared" si="14"/>
        <v/>
      </c>
      <c r="N57" s="12"/>
      <c r="O57" s="20" t="str">
        <f t="shared" si="15"/>
        <v/>
      </c>
      <c r="P57" s="12"/>
      <c r="Q57" s="20" t="str">
        <f t="shared" si="16"/>
        <v/>
      </c>
      <c r="R57" s="12"/>
      <c r="S57" s="20" t="str">
        <f t="shared" si="17"/>
        <v/>
      </c>
      <c r="T57" s="12"/>
      <c r="U57" s="12"/>
    </row>
    <row r="58" spans="1:21" ht="15" customHeight="1" x14ac:dyDescent="0.25">
      <c r="A58" s="12"/>
      <c r="B58" s="12"/>
      <c r="C58" s="20" t="str">
        <f t="shared" si="9"/>
        <v/>
      </c>
      <c r="D58" s="12"/>
      <c r="E58" s="20" t="str">
        <f t="shared" si="10"/>
        <v/>
      </c>
      <c r="F58" s="12"/>
      <c r="G58" s="20" t="str">
        <f t="shared" si="11"/>
        <v/>
      </c>
      <c r="H58" s="12"/>
      <c r="I58" s="20" t="str">
        <f t="shared" si="12"/>
        <v/>
      </c>
      <c r="J58" s="12"/>
      <c r="K58" s="20" t="str">
        <f t="shared" si="13"/>
        <v/>
      </c>
      <c r="L58" s="12"/>
      <c r="M58" s="20" t="str">
        <f t="shared" si="14"/>
        <v/>
      </c>
      <c r="N58" s="12"/>
      <c r="O58" s="20" t="str">
        <f t="shared" si="15"/>
        <v/>
      </c>
      <c r="P58" s="12"/>
      <c r="Q58" s="20" t="str">
        <f t="shared" si="16"/>
        <v/>
      </c>
      <c r="R58" s="12"/>
      <c r="S58" s="20" t="str">
        <f t="shared" si="17"/>
        <v/>
      </c>
      <c r="T58" s="12"/>
      <c r="U58" s="12"/>
    </row>
    <row r="59" spans="1:21" ht="15" customHeight="1" x14ac:dyDescent="0.25">
      <c r="A59" s="12"/>
      <c r="B59" s="12"/>
      <c r="C59" s="20" t="str">
        <f t="shared" si="9"/>
        <v/>
      </c>
      <c r="D59" s="12"/>
      <c r="E59" s="20" t="str">
        <f t="shared" si="10"/>
        <v/>
      </c>
      <c r="F59" s="12"/>
      <c r="G59" s="20" t="str">
        <f t="shared" si="11"/>
        <v/>
      </c>
      <c r="H59" s="12"/>
      <c r="I59" s="20" t="str">
        <f t="shared" si="12"/>
        <v/>
      </c>
      <c r="J59" s="12"/>
      <c r="K59" s="20" t="str">
        <f t="shared" si="13"/>
        <v/>
      </c>
      <c r="L59" s="12"/>
      <c r="M59" s="20" t="str">
        <f t="shared" si="14"/>
        <v/>
      </c>
      <c r="N59" s="12"/>
      <c r="O59" s="20" t="str">
        <f t="shared" si="15"/>
        <v/>
      </c>
      <c r="P59" s="12"/>
      <c r="Q59" s="20" t="str">
        <f t="shared" si="16"/>
        <v/>
      </c>
      <c r="R59" s="12"/>
      <c r="S59" s="20" t="str">
        <f t="shared" si="17"/>
        <v/>
      </c>
      <c r="T59" s="12"/>
      <c r="U59" s="12"/>
    </row>
    <row r="60" spans="1:21" ht="15" customHeight="1" x14ac:dyDescent="0.25">
      <c r="A60" s="12"/>
      <c r="B60" s="12"/>
      <c r="C60" s="20" t="str">
        <f t="shared" si="9"/>
        <v/>
      </c>
      <c r="D60" s="12"/>
      <c r="E60" s="20" t="str">
        <f t="shared" si="10"/>
        <v/>
      </c>
      <c r="F60" s="12"/>
      <c r="G60" s="20" t="str">
        <f t="shared" si="11"/>
        <v/>
      </c>
      <c r="H60" s="12"/>
      <c r="I60" s="20" t="str">
        <f t="shared" si="12"/>
        <v/>
      </c>
      <c r="J60" s="12"/>
      <c r="K60" s="20" t="str">
        <f t="shared" si="13"/>
        <v/>
      </c>
      <c r="L60" s="12"/>
      <c r="M60" s="20" t="str">
        <f t="shared" si="14"/>
        <v/>
      </c>
      <c r="N60" s="12"/>
      <c r="O60" s="20" t="str">
        <f t="shared" si="15"/>
        <v/>
      </c>
      <c r="P60" s="12"/>
      <c r="Q60" s="20" t="str">
        <f t="shared" si="16"/>
        <v/>
      </c>
      <c r="R60" s="12"/>
      <c r="S60" s="20" t="str">
        <f t="shared" si="17"/>
        <v/>
      </c>
      <c r="T60" s="12"/>
      <c r="U60" s="12"/>
    </row>
    <row r="61" spans="1:21" ht="15" customHeight="1" x14ac:dyDescent="0.25">
      <c r="A61" s="12"/>
      <c r="B61" s="12"/>
      <c r="C61" s="20" t="str">
        <f t="shared" si="9"/>
        <v/>
      </c>
      <c r="D61" s="12"/>
      <c r="E61" s="20" t="str">
        <f t="shared" si="10"/>
        <v/>
      </c>
      <c r="F61" s="12"/>
      <c r="G61" s="20" t="str">
        <f t="shared" si="11"/>
        <v/>
      </c>
      <c r="H61" s="12"/>
      <c r="I61" s="20" t="str">
        <f t="shared" si="12"/>
        <v/>
      </c>
      <c r="J61" s="12"/>
      <c r="K61" s="20" t="str">
        <f t="shared" si="13"/>
        <v/>
      </c>
      <c r="L61" s="12"/>
      <c r="M61" s="20" t="str">
        <f t="shared" si="14"/>
        <v/>
      </c>
      <c r="N61" s="12"/>
      <c r="O61" s="20" t="str">
        <f t="shared" si="15"/>
        <v/>
      </c>
      <c r="P61" s="12"/>
      <c r="Q61" s="20" t="str">
        <f t="shared" si="16"/>
        <v/>
      </c>
      <c r="R61" s="12"/>
      <c r="S61" s="20" t="str">
        <f t="shared" si="17"/>
        <v/>
      </c>
      <c r="T61" s="12"/>
      <c r="U61" s="12"/>
    </row>
  </sheetData>
  <autoFilter ref="A1:U61" xr:uid="{00000000-0009-0000-0000-000003000000}"/>
  <conditionalFormatting sqref="C2:C61">
    <cfRule type="expression" dxfId="11" priority="2">
      <formula>AND(C2&lt;&gt;"",OR(C2&lt;1,C2&gt;12))</formula>
    </cfRule>
  </conditionalFormatting>
  <conditionalFormatting sqref="E2:E61">
    <cfRule type="expression" dxfId="10" priority="3">
      <formula>AND(E2&lt;&gt;"",OR(E2&lt;1,E2&gt;12))</formula>
    </cfRule>
  </conditionalFormatting>
  <conditionalFormatting sqref="O2:O61">
    <cfRule type="expression" dxfId="9" priority="4">
      <formula>AND(O2&lt;&gt;"",OR(O2&lt;1,O2&gt;12))</formula>
    </cfRule>
  </conditionalFormatting>
  <conditionalFormatting sqref="G2:G61">
    <cfRule type="expression" dxfId="8" priority="5">
      <formula>AND(G2&lt;&gt;"",OR(G2&lt;40,G2&gt;90))</formula>
    </cfRule>
  </conditionalFormatting>
  <conditionalFormatting sqref="I2:I61">
    <cfRule type="expression" dxfId="7" priority="6">
      <formula>AND(I2&lt;&gt;"",OR(I2&lt;40,I2&gt;90))</formula>
    </cfRule>
  </conditionalFormatting>
  <conditionalFormatting sqref="Q2:Q61">
    <cfRule type="expression" dxfId="6" priority="7">
      <formula>AND(Q2&lt;&gt;"",OR(Q2&lt;40,Q2&gt;90))</formula>
    </cfRule>
  </conditionalFormatting>
  <conditionalFormatting sqref="K2:K61">
    <cfRule type="expression" dxfId="5" priority="8">
      <formula>AND(K2&lt;&gt;"",OR(K2&lt;1,K2&gt;250))</formula>
    </cfRule>
  </conditionalFormatting>
  <conditionalFormatting sqref="M2:M61">
    <cfRule type="expression" dxfId="4" priority="9">
      <formula>AND(M2&lt;&gt;"",OR(M2&lt;1,M2&gt;250))</formula>
    </cfRule>
  </conditionalFormatting>
  <conditionalFormatting sqref="S2:S61">
    <cfRule type="expression" dxfId="3" priority="10">
      <formula>AND(S2&lt;&gt;"",OR(S2&lt;1,S2&gt;250))</formula>
    </cfRule>
  </conditionalFormatting>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1"/>
  <sheetViews>
    <sheetView zoomScaleNormal="100" workbookViewId="0">
      <pane xSplit="1" ySplit="1" topLeftCell="B2" activePane="bottomRight" state="frozen"/>
      <selection pane="topRight" activeCell="B1" sqref="B1"/>
      <selection pane="bottomLeft" activeCell="A2" sqref="A2"/>
      <selection pane="bottomRight" activeCell="E19" sqref="E19"/>
    </sheetView>
  </sheetViews>
  <sheetFormatPr defaultColWidth="8.7109375" defaultRowHeight="15" x14ac:dyDescent="0.25"/>
  <cols>
    <col min="1" max="1" width="20" style="18" customWidth="1"/>
    <col min="2" max="3" width="26" style="18" customWidth="1"/>
    <col min="4" max="5" width="24" style="18" customWidth="1"/>
    <col min="6" max="6" width="16" style="18" customWidth="1"/>
    <col min="7" max="7" width="18" style="18" customWidth="1"/>
    <col min="8" max="8" width="30" style="18" customWidth="1"/>
    <col min="9" max="10" width="10" style="18" customWidth="1"/>
    <col min="11" max="11" width="34" style="18" customWidth="1"/>
    <col min="12" max="12" width="30" style="18" customWidth="1"/>
    <col min="13" max="14" width="10" style="18" customWidth="1"/>
    <col min="15" max="15" width="34" style="18" customWidth="1"/>
    <col min="16" max="16" width="13" style="18" customWidth="1"/>
    <col min="17" max="18" width="28" style="18" customWidth="1"/>
    <col min="19" max="19" width="18" style="18" customWidth="1"/>
  </cols>
  <sheetData>
    <row r="1" spans="1:19" ht="42" customHeight="1" x14ac:dyDescent="0.25">
      <c r="A1" s="4" t="s">
        <v>139</v>
      </c>
      <c r="B1" s="4" t="s">
        <v>347</v>
      </c>
      <c r="C1" s="4" t="s">
        <v>348</v>
      </c>
      <c r="D1" s="4" t="s">
        <v>349</v>
      </c>
      <c r="E1" s="4" t="s">
        <v>350</v>
      </c>
      <c r="F1" s="4" t="s">
        <v>351</v>
      </c>
      <c r="G1" s="4" t="s">
        <v>352</v>
      </c>
      <c r="H1" s="4" t="s">
        <v>353</v>
      </c>
      <c r="I1" s="4" t="s">
        <v>354</v>
      </c>
      <c r="J1" s="4" t="s">
        <v>355</v>
      </c>
      <c r="K1" s="4" t="s">
        <v>356</v>
      </c>
      <c r="L1" s="4" t="s">
        <v>357</v>
      </c>
      <c r="M1" s="4" t="s">
        <v>354</v>
      </c>
      <c r="N1" s="4" t="s">
        <v>355</v>
      </c>
      <c r="O1" s="4" t="s">
        <v>358</v>
      </c>
      <c r="P1" s="4" t="s">
        <v>359</v>
      </c>
      <c r="Q1" s="4" t="s">
        <v>360</v>
      </c>
      <c r="R1" s="4" t="s">
        <v>361</v>
      </c>
      <c r="S1" s="4" t="s">
        <v>362</v>
      </c>
    </row>
    <row r="2" spans="1:19" ht="23.25" customHeight="1" x14ac:dyDescent="0.25">
      <c r="A2" s="12" t="s">
        <v>61</v>
      </c>
      <c r="B2" s="12" t="s">
        <v>363</v>
      </c>
      <c r="C2" s="12" t="s">
        <v>364</v>
      </c>
      <c r="D2" s="12" t="s">
        <v>365</v>
      </c>
      <c r="E2" s="12" t="s">
        <v>366</v>
      </c>
      <c r="F2" s="12"/>
      <c r="G2" s="12"/>
      <c r="H2" s="12" t="s">
        <v>367</v>
      </c>
      <c r="I2" s="19">
        <v>38.722299999999997</v>
      </c>
      <c r="J2" s="19">
        <v>-9.1393000000000004</v>
      </c>
      <c r="K2" s="12" t="s">
        <v>1280</v>
      </c>
      <c r="L2" s="12" t="s">
        <v>368</v>
      </c>
      <c r="M2" s="19">
        <v>38.697499999999998</v>
      </c>
      <c r="N2" s="19">
        <v>-9.2065999999999999</v>
      </c>
      <c r="O2" s="12" t="s">
        <v>369</v>
      </c>
      <c r="P2" s="19" t="s">
        <v>12</v>
      </c>
      <c r="Q2" s="12" t="s">
        <v>370</v>
      </c>
      <c r="R2" s="12" t="s">
        <v>371</v>
      </c>
      <c r="S2" s="12"/>
    </row>
    <row r="3" spans="1:19" ht="23.25" customHeight="1" x14ac:dyDescent="0.25">
      <c r="A3" s="12" t="s">
        <v>67</v>
      </c>
      <c r="B3" s="12" t="s">
        <v>372</v>
      </c>
      <c r="C3" s="12" t="s">
        <v>373</v>
      </c>
      <c r="D3" s="12" t="s">
        <v>374</v>
      </c>
      <c r="E3" s="12" t="s">
        <v>375</v>
      </c>
      <c r="F3" s="12"/>
      <c r="G3" s="12"/>
      <c r="H3" s="12" t="s">
        <v>376</v>
      </c>
      <c r="I3" s="19">
        <v>38.707500000000003</v>
      </c>
      <c r="J3" s="19">
        <v>-9.1364000000000001</v>
      </c>
      <c r="K3" s="12" t="s">
        <v>1281</v>
      </c>
      <c r="L3" s="12" t="s">
        <v>377</v>
      </c>
      <c r="M3" s="19">
        <v>38.691600000000001</v>
      </c>
      <c r="N3" s="19">
        <v>-9.2159999999999993</v>
      </c>
      <c r="O3" s="12" t="s">
        <v>378</v>
      </c>
      <c r="P3" s="19" t="s">
        <v>12</v>
      </c>
      <c r="Q3" s="12" t="s">
        <v>169</v>
      </c>
      <c r="R3" s="12" t="s">
        <v>379</v>
      </c>
      <c r="S3" s="12"/>
    </row>
    <row r="4" spans="1:19" ht="23.25" customHeight="1" x14ac:dyDescent="0.25">
      <c r="A4" s="12" t="s">
        <v>72</v>
      </c>
      <c r="B4" s="12" t="s">
        <v>380</v>
      </c>
      <c r="C4" s="12" t="s">
        <v>381</v>
      </c>
      <c r="D4" s="12" t="s">
        <v>382</v>
      </c>
      <c r="E4" s="12" t="s">
        <v>383</v>
      </c>
      <c r="F4" s="12"/>
      <c r="G4" s="12"/>
      <c r="H4" s="12" t="s">
        <v>384</v>
      </c>
      <c r="I4" s="19">
        <v>41.1496</v>
      </c>
      <c r="J4" s="19">
        <v>-8.6110000000000007</v>
      </c>
      <c r="K4" s="12" t="s">
        <v>1282</v>
      </c>
      <c r="L4" s="12" t="s">
        <v>385</v>
      </c>
      <c r="M4" s="19">
        <v>0</v>
      </c>
      <c r="N4" s="19">
        <v>0</v>
      </c>
      <c r="O4" s="12" t="s">
        <v>386</v>
      </c>
      <c r="P4" s="19" t="s">
        <v>12</v>
      </c>
      <c r="Q4" s="12" t="s">
        <v>387</v>
      </c>
      <c r="R4" s="12" t="s">
        <v>388</v>
      </c>
      <c r="S4" s="12"/>
    </row>
    <row r="5" spans="1:19" ht="15" customHeight="1" x14ac:dyDescent="0.25">
      <c r="A5" s="12" t="s">
        <v>77</v>
      </c>
      <c r="B5" s="12" t="s">
        <v>389</v>
      </c>
      <c r="C5" s="12" t="s">
        <v>390</v>
      </c>
      <c r="D5" s="12" t="s">
        <v>391</v>
      </c>
      <c r="E5" s="12" t="s">
        <v>392</v>
      </c>
      <c r="F5" s="12" t="s">
        <v>393</v>
      </c>
      <c r="G5" s="12" t="s">
        <v>394</v>
      </c>
      <c r="H5" s="12" t="s">
        <v>395</v>
      </c>
      <c r="I5" s="19">
        <v>38.691800000000001</v>
      </c>
      <c r="J5" s="19">
        <v>-7.1006</v>
      </c>
      <c r="K5" s="12" t="s">
        <v>1283</v>
      </c>
      <c r="L5" s="12" t="s">
        <v>396</v>
      </c>
      <c r="M5" s="19">
        <v>38.881100000000004</v>
      </c>
      <c r="N5" s="19">
        <v>-7.1631</v>
      </c>
      <c r="O5" s="12" t="s">
        <v>378</v>
      </c>
      <c r="P5" s="19" t="s">
        <v>12</v>
      </c>
      <c r="Q5" s="12" t="s">
        <v>397</v>
      </c>
      <c r="R5" s="12" t="s">
        <v>398</v>
      </c>
      <c r="S5" s="12" t="s">
        <v>399</v>
      </c>
    </row>
    <row r="6" spans="1:19" ht="15" customHeight="1" x14ac:dyDescent="0.25">
      <c r="A6" s="12" t="s">
        <v>82</v>
      </c>
      <c r="B6" s="12" t="s">
        <v>400</v>
      </c>
      <c r="C6" s="12" t="s">
        <v>401</v>
      </c>
      <c r="D6" s="12" t="s">
        <v>402</v>
      </c>
      <c r="E6" s="12" t="s">
        <v>403</v>
      </c>
      <c r="F6" s="12" t="s">
        <v>404</v>
      </c>
      <c r="G6" s="12" t="s">
        <v>405</v>
      </c>
      <c r="H6" s="12" t="s">
        <v>406</v>
      </c>
      <c r="I6" s="19">
        <v>38.707500000000003</v>
      </c>
      <c r="J6" s="19">
        <v>-9.1364000000000001</v>
      </c>
      <c r="K6" s="12" t="s">
        <v>407</v>
      </c>
      <c r="L6" s="12" t="s">
        <v>408</v>
      </c>
      <c r="M6" s="19">
        <v>38.707999999999998</v>
      </c>
      <c r="N6" s="19">
        <v>-9.1347000000000005</v>
      </c>
      <c r="O6" s="12" t="s">
        <v>409</v>
      </c>
      <c r="P6" s="19" t="s">
        <v>12</v>
      </c>
      <c r="Q6" s="12" t="s">
        <v>410</v>
      </c>
      <c r="R6" s="12" t="s">
        <v>411</v>
      </c>
      <c r="S6" s="12" t="s">
        <v>412</v>
      </c>
    </row>
    <row r="7" spans="1:19" ht="15" customHeight="1" x14ac:dyDescent="0.25">
      <c r="A7" s="12" t="s">
        <v>87</v>
      </c>
      <c r="B7" s="12" t="s">
        <v>413</v>
      </c>
      <c r="C7" s="12" t="s">
        <v>414</v>
      </c>
      <c r="D7" s="12" t="s">
        <v>415</v>
      </c>
      <c r="E7" s="12" t="s">
        <v>416</v>
      </c>
      <c r="F7" s="12"/>
      <c r="G7" s="12"/>
      <c r="H7" s="12" t="s">
        <v>417</v>
      </c>
      <c r="I7" s="19">
        <v>41.16</v>
      </c>
      <c r="J7" s="19">
        <v>-7.79</v>
      </c>
      <c r="K7" s="12" t="s">
        <v>418</v>
      </c>
      <c r="L7" s="12" t="s">
        <v>419</v>
      </c>
      <c r="M7" s="19">
        <v>41.1389</v>
      </c>
      <c r="N7" s="19">
        <v>-8.6152999999999995</v>
      </c>
      <c r="O7" s="12" t="s">
        <v>420</v>
      </c>
      <c r="P7" s="19" t="s">
        <v>12</v>
      </c>
      <c r="Q7" s="12" t="s">
        <v>184</v>
      </c>
      <c r="R7" s="12" t="s">
        <v>421</v>
      </c>
      <c r="S7" s="12"/>
    </row>
    <row r="8" spans="1:19" ht="15" customHeight="1" x14ac:dyDescent="0.25">
      <c r="A8" s="12" t="s">
        <v>92</v>
      </c>
      <c r="B8" s="12" t="s">
        <v>422</v>
      </c>
      <c r="C8" s="12" t="s">
        <v>423</v>
      </c>
      <c r="D8" s="12" t="s">
        <v>424</v>
      </c>
      <c r="E8" s="12" t="s">
        <v>425</v>
      </c>
      <c r="F8" s="12" t="s">
        <v>426</v>
      </c>
      <c r="G8" s="12" t="s">
        <v>427</v>
      </c>
      <c r="H8" s="12" t="s">
        <v>428</v>
      </c>
      <c r="I8" s="19">
        <v>2.1896</v>
      </c>
      <c r="J8" s="19">
        <v>102.2501</v>
      </c>
      <c r="K8" s="12" t="s">
        <v>429</v>
      </c>
      <c r="L8" s="12" t="s">
        <v>430</v>
      </c>
      <c r="M8" s="19">
        <v>38.697000000000003</v>
      </c>
      <c r="N8" s="19">
        <v>-9.2059999999999995</v>
      </c>
      <c r="O8" s="12" t="s">
        <v>378</v>
      </c>
      <c r="P8" s="19" t="s">
        <v>12</v>
      </c>
      <c r="Q8" s="12" t="s">
        <v>431</v>
      </c>
      <c r="R8" s="12" t="s">
        <v>432</v>
      </c>
      <c r="S8" s="12" t="s">
        <v>433</v>
      </c>
    </row>
    <row r="9" spans="1:19" ht="15" customHeight="1" x14ac:dyDescent="0.25">
      <c r="A9" s="12" t="s">
        <v>97</v>
      </c>
      <c r="B9" s="12" t="s">
        <v>434</v>
      </c>
      <c r="C9" s="12" t="s">
        <v>435</v>
      </c>
      <c r="D9" s="12" t="s">
        <v>436</v>
      </c>
      <c r="E9" s="12" t="s">
        <v>437</v>
      </c>
      <c r="F9" s="12" t="s">
        <v>438</v>
      </c>
      <c r="G9" s="12" t="s">
        <v>439</v>
      </c>
      <c r="H9" s="12" t="s">
        <v>440</v>
      </c>
      <c r="I9" s="19">
        <v>39.017000000000003</v>
      </c>
      <c r="J9" s="19">
        <v>-9.15</v>
      </c>
      <c r="K9" s="12" t="s">
        <v>441</v>
      </c>
      <c r="L9" s="12" t="s">
        <v>442</v>
      </c>
      <c r="M9" s="19"/>
      <c r="N9" s="19"/>
      <c r="O9" s="12" t="s">
        <v>443</v>
      </c>
      <c r="P9" s="19" t="s">
        <v>12</v>
      </c>
      <c r="Q9" s="12" t="s">
        <v>444</v>
      </c>
      <c r="R9" s="12" t="s">
        <v>445</v>
      </c>
      <c r="S9" s="12" t="s">
        <v>446</v>
      </c>
    </row>
    <row r="10" spans="1:19" ht="15" customHeight="1" x14ac:dyDescent="0.25">
      <c r="A10" s="12" t="s">
        <v>102</v>
      </c>
      <c r="B10" s="12" t="s">
        <v>447</v>
      </c>
      <c r="C10" s="12" t="s">
        <v>448</v>
      </c>
      <c r="D10" s="12" t="s">
        <v>449</v>
      </c>
      <c r="E10" s="12" t="s">
        <v>450</v>
      </c>
      <c r="F10" s="12" t="s">
        <v>451</v>
      </c>
      <c r="G10" s="12" t="s">
        <v>452</v>
      </c>
      <c r="H10" s="12" t="s">
        <v>453</v>
      </c>
      <c r="I10" s="19">
        <v>0</v>
      </c>
      <c r="J10" s="19">
        <v>0</v>
      </c>
      <c r="K10" s="12" t="s">
        <v>1284</v>
      </c>
      <c r="L10" s="12" t="s">
        <v>378</v>
      </c>
      <c r="M10" s="19">
        <v>0</v>
      </c>
      <c r="N10" s="19">
        <v>0</v>
      </c>
      <c r="O10" s="12" t="s">
        <v>454</v>
      </c>
      <c r="P10" s="19" t="s">
        <v>12</v>
      </c>
      <c r="Q10" s="12" t="s">
        <v>455</v>
      </c>
      <c r="R10" s="12" t="s">
        <v>456</v>
      </c>
      <c r="S10" s="12" t="s">
        <v>457</v>
      </c>
    </row>
    <row r="11" spans="1:19" ht="15" customHeight="1" x14ac:dyDescent="0.25">
      <c r="A11" s="12" t="s">
        <v>107</v>
      </c>
      <c r="B11" s="12" t="s">
        <v>458</v>
      </c>
      <c r="C11" s="12" t="s">
        <v>459</v>
      </c>
      <c r="D11" s="12" t="s">
        <v>460</v>
      </c>
      <c r="E11" s="12" t="s">
        <v>461</v>
      </c>
      <c r="F11" s="12" t="s">
        <v>462</v>
      </c>
      <c r="G11" s="12" t="s">
        <v>463</v>
      </c>
      <c r="H11" s="12" t="s">
        <v>367</v>
      </c>
      <c r="I11" s="19">
        <v>38.722299999999997</v>
      </c>
      <c r="J11" s="19">
        <v>-9.1393000000000004</v>
      </c>
      <c r="K11" s="12" t="s">
        <v>464</v>
      </c>
      <c r="L11" s="12" t="s">
        <v>465</v>
      </c>
      <c r="M11" s="19">
        <v>38.712299999999999</v>
      </c>
      <c r="N11" s="19">
        <v>-9.1405999999999992</v>
      </c>
      <c r="O11" s="12" t="s">
        <v>466</v>
      </c>
      <c r="P11" s="19" t="s">
        <v>12</v>
      </c>
      <c r="Q11" s="12" t="s">
        <v>467</v>
      </c>
      <c r="R11" s="12" t="s">
        <v>468</v>
      </c>
      <c r="S11" s="12" t="s">
        <v>469</v>
      </c>
    </row>
    <row r="12" spans="1:19" ht="15" customHeight="1" x14ac:dyDescent="0.25">
      <c r="A12" s="12" t="s">
        <v>113</v>
      </c>
      <c r="B12" s="12" t="s">
        <v>470</v>
      </c>
      <c r="C12" s="12" t="s">
        <v>471</v>
      </c>
      <c r="D12" s="12" t="s">
        <v>472</v>
      </c>
      <c r="E12" s="12" t="s">
        <v>473</v>
      </c>
      <c r="F12" s="12" t="s">
        <v>474</v>
      </c>
      <c r="G12" s="12" t="s">
        <v>475</v>
      </c>
      <c r="H12" s="12" t="s">
        <v>476</v>
      </c>
      <c r="I12" s="19">
        <v>41.140500000000003</v>
      </c>
      <c r="J12" s="19">
        <v>-8.6120000000000001</v>
      </c>
      <c r="K12" s="12" t="s">
        <v>1285</v>
      </c>
      <c r="L12" s="12" t="s">
        <v>477</v>
      </c>
      <c r="M12" s="19"/>
      <c r="N12" s="19"/>
      <c r="O12" s="12" t="s">
        <v>378</v>
      </c>
      <c r="P12" s="19" t="s">
        <v>12</v>
      </c>
      <c r="Q12" s="12" t="s">
        <v>478</v>
      </c>
      <c r="R12" s="12" t="s">
        <v>479</v>
      </c>
      <c r="S12" s="12" t="s">
        <v>480</v>
      </c>
    </row>
    <row r="13" spans="1:19" ht="15" customHeight="1" x14ac:dyDescent="0.25">
      <c r="A13" s="12" t="s">
        <v>118</v>
      </c>
      <c r="B13" s="12" t="s">
        <v>481</v>
      </c>
      <c r="C13" s="12" t="s">
        <v>482</v>
      </c>
      <c r="D13" s="12" t="s">
        <v>483</v>
      </c>
      <c r="E13" s="12" t="s">
        <v>484</v>
      </c>
      <c r="F13" s="12" t="s">
        <v>485</v>
      </c>
      <c r="G13" s="12" t="s">
        <v>486</v>
      </c>
      <c r="H13" s="12" t="s">
        <v>487</v>
      </c>
      <c r="I13" s="19">
        <v>41.1496</v>
      </c>
      <c r="J13" s="19">
        <v>-8.6110000000000007</v>
      </c>
      <c r="K13" s="12" t="s">
        <v>418</v>
      </c>
      <c r="L13" s="12" t="s">
        <v>419</v>
      </c>
      <c r="M13" s="19">
        <v>41.1389</v>
      </c>
      <c r="N13" s="19">
        <v>-8.6152999999999995</v>
      </c>
      <c r="O13" s="12" t="s">
        <v>420</v>
      </c>
      <c r="P13" s="19" t="s">
        <v>12</v>
      </c>
      <c r="Q13" s="12" t="s">
        <v>488</v>
      </c>
      <c r="R13" s="12" t="s">
        <v>489</v>
      </c>
      <c r="S13" s="12" t="s">
        <v>490</v>
      </c>
    </row>
    <row r="14" spans="1:19" ht="15" customHeight="1" x14ac:dyDescent="0.25">
      <c r="A14" s="12" t="s">
        <v>123</v>
      </c>
      <c r="B14" s="12" t="s">
        <v>491</v>
      </c>
      <c r="C14" s="12" t="s">
        <v>492</v>
      </c>
      <c r="D14" s="12" t="s">
        <v>493</v>
      </c>
      <c r="E14" s="12" t="s">
        <v>494</v>
      </c>
      <c r="F14" s="12" t="s">
        <v>495</v>
      </c>
      <c r="G14" s="12" t="s">
        <v>495</v>
      </c>
      <c r="H14" s="12" t="s">
        <v>496</v>
      </c>
      <c r="I14" s="19">
        <v>55.521599999999999</v>
      </c>
      <c r="J14" s="19">
        <v>35.818300000000001</v>
      </c>
      <c r="K14" s="12"/>
      <c r="L14" s="12"/>
      <c r="M14" s="19"/>
      <c r="N14" s="19"/>
      <c r="O14" s="12"/>
      <c r="P14" s="19" t="s">
        <v>12</v>
      </c>
      <c r="Q14" s="12" t="s">
        <v>497</v>
      </c>
      <c r="R14" s="12" t="s">
        <v>498</v>
      </c>
      <c r="S14" s="12" t="s">
        <v>495</v>
      </c>
    </row>
    <row r="15" spans="1:19" ht="15" customHeight="1" x14ac:dyDescent="0.25">
      <c r="A15" s="12"/>
      <c r="B15" s="12"/>
      <c r="C15" s="12"/>
      <c r="D15" s="12"/>
      <c r="E15" s="12"/>
      <c r="F15" s="12"/>
      <c r="G15" s="12"/>
      <c r="H15" s="12"/>
      <c r="I15" s="19"/>
      <c r="J15" s="19"/>
      <c r="K15" s="12"/>
      <c r="L15" s="12"/>
      <c r="M15" s="19"/>
      <c r="N15" s="19"/>
      <c r="O15" s="12"/>
      <c r="P15" s="19"/>
      <c r="Q15" s="12"/>
      <c r="R15" s="12"/>
      <c r="S15" s="12"/>
    </row>
    <row r="16" spans="1:19" ht="15" customHeight="1" x14ac:dyDescent="0.25">
      <c r="A16" s="12"/>
      <c r="B16" s="12"/>
      <c r="C16" s="12"/>
      <c r="D16" s="12"/>
      <c r="E16" s="12"/>
      <c r="F16" s="12"/>
      <c r="G16" s="12"/>
      <c r="H16" s="12"/>
      <c r="I16" s="19"/>
      <c r="J16" s="19"/>
      <c r="K16" s="12"/>
      <c r="L16" s="12"/>
      <c r="M16" s="19"/>
      <c r="N16" s="19"/>
      <c r="O16" s="12"/>
      <c r="P16" s="19"/>
      <c r="Q16" s="12"/>
      <c r="R16" s="12"/>
      <c r="S16" s="12"/>
    </row>
    <row r="17" spans="1:19" ht="15" customHeight="1" x14ac:dyDescent="0.25">
      <c r="A17" s="12"/>
      <c r="B17" s="12"/>
      <c r="C17" s="12"/>
      <c r="D17" s="12"/>
      <c r="E17" s="12"/>
      <c r="F17" s="12"/>
      <c r="G17" s="12"/>
      <c r="H17" s="12"/>
      <c r="I17" s="19"/>
      <c r="J17" s="19"/>
      <c r="K17" s="12"/>
      <c r="L17" s="12"/>
      <c r="M17" s="19"/>
      <c r="N17" s="19"/>
      <c r="O17" s="12"/>
      <c r="P17" s="19"/>
      <c r="Q17" s="12"/>
      <c r="R17" s="12"/>
      <c r="S17" s="12"/>
    </row>
    <row r="18" spans="1:19" ht="15" customHeight="1" x14ac:dyDescent="0.25">
      <c r="A18" s="12"/>
      <c r="B18" s="12"/>
      <c r="C18" s="12"/>
      <c r="D18" s="12"/>
      <c r="E18" s="12"/>
      <c r="F18" s="12"/>
      <c r="G18" s="12"/>
      <c r="H18" s="12"/>
      <c r="I18" s="19"/>
      <c r="J18" s="19"/>
      <c r="K18" s="12"/>
      <c r="L18" s="12"/>
      <c r="M18" s="19"/>
      <c r="N18" s="19"/>
      <c r="O18" s="12"/>
      <c r="P18" s="19"/>
      <c r="Q18" s="12"/>
      <c r="R18" s="12"/>
      <c r="S18" s="12"/>
    </row>
    <row r="19" spans="1:19" ht="15" customHeight="1" x14ac:dyDescent="0.25">
      <c r="A19" s="12"/>
      <c r="B19" s="12"/>
      <c r="C19" s="12"/>
      <c r="D19" s="12"/>
      <c r="E19" s="12"/>
      <c r="F19" s="12"/>
      <c r="G19" s="12"/>
      <c r="H19" s="12"/>
      <c r="I19" s="19"/>
      <c r="J19" s="19"/>
      <c r="K19" s="12"/>
      <c r="L19" s="12"/>
      <c r="M19" s="19"/>
      <c r="N19" s="19"/>
      <c r="O19" s="12"/>
      <c r="P19" s="19"/>
      <c r="Q19" s="12"/>
      <c r="R19" s="12"/>
      <c r="S19" s="12"/>
    </row>
    <row r="20" spans="1:19" ht="15" customHeight="1" x14ac:dyDescent="0.25">
      <c r="A20" s="12"/>
      <c r="B20" s="12"/>
      <c r="C20" s="12"/>
      <c r="D20" s="12"/>
      <c r="E20" s="12"/>
      <c r="F20" s="12"/>
      <c r="G20" s="12"/>
      <c r="H20" s="12"/>
      <c r="I20" s="19"/>
      <c r="J20" s="19"/>
      <c r="K20" s="12"/>
      <c r="L20" s="12"/>
      <c r="M20" s="19"/>
      <c r="N20" s="19"/>
      <c r="O20" s="12"/>
      <c r="P20" s="19"/>
      <c r="Q20" s="12"/>
      <c r="R20" s="12"/>
      <c r="S20" s="12"/>
    </row>
    <row r="21" spans="1:19" ht="15" customHeight="1" x14ac:dyDescent="0.25">
      <c r="A21" s="12"/>
      <c r="B21" s="12"/>
      <c r="C21" s="12"/>
      <c r="D21" s="12"/>
      <c r="E21" s="12"/>
      <c r="F21" s="12"/>
      <c r="G21" s="12"/>
      <c r="H21" s="12"/>
      <c r="I21" s="19"/>
      <c r="J21" s="19"/>
      <c r="K21" s="12"/>
      <c r="L21" s="12"/>
      <c r="M21" s="19"/>
      <c r="N21" s="19"/>
      <c r="O21" s="12"/>
      <c r="P21" s="19"/>
      <c r="Q21" s="12"/>
      <c r="R21" s="12"/>
      <c r="S21" s="12"/>
    </row>
    <row r="22" spans="1:19" ht="15" customHeight="1" x14ac:dyDescent="0.25">
      <c r="A22" s="12"/>
      <c r="B22" s="12"/>
      <c r="C22" s="12"/>
      <c r="D22" s="12"/>
      <c r="E22" s="12"/>
      <c r="F22" s="12"/>
      <c r="G22" s="12"/>
      <c r="H22" s="12"/>
      <c r="I22" s="19"/>
      <c r="J22" s="19"/>
      <c r="K22" s="12"/>
      <c r="L22" s="12"/>
      <c r="M22" s="19"/>
      <c r="N22" s="19"/>
      <c r="O22" s="12"/>
      <c r="P22" s="19"/>
      <c r="Q22" s="12"/>
      <c r="R22" s="12"/>
      <c r="S22" s="12"/>
    </row>
    <row r="23" spans="1:19" ht="15" customHeight="1" x14ac:dyDescent="0.25">
      <c r="A23" s="12"/>
      <c r="B23" s="12"/>
      <c r="C23" s="12"/>
      <c r="D23" s="12"/>
      <c r="E23" s="12"/>
      <c r="F23" s="12"/>
      <c r="G23" s="12"/>
      <c r="H23" s="12"/>
      <c r="I23" s="19"/>
      <c r="J23" s="19"/>
      <c r="K23" s="12"/>
      <c r="L23" s="12"/>
      <c r="M23" s="19"/>
      <c r="N23" s="19"/>
      <c r="O23" s="12"/>
      <c r="P23" s="19"/>
      <c r="Q23" s="12"/>
      <c r="R23" s="12"/>
      <c r="S23" s="12"/>
    </row>
    <row r="24" spans="1:19" ht="15" customHeight="1" x14ac:dyDescent="0.25">
      <c r="A24" s="12"/>
      <c r="B24" s="12"/>
      <c r="C24" s="12"/>
      <c r="D24" s="12"/>
      <c r="E24" s="12"/>
      <c r="F24" s="12"/>
      <c r="G24" s="12"/>
      <c r="H24" s="12"/>
      <c r="I24" s="19"/>
      <c r="J24" s="19"/>
      <c r="K24" s="12"/>
      <c r="L24" s="12"/>
      <c r="M24" s="19"/>
      <c r="N24" s="19"/>
      <c r="O24" s="12"/>
      <c r="P24" s="19"/>
      <c r="Q24" s="12"/>
      <c r="R24" s="12"/>
      <c r="S24" s="12"/>
    </row>
    <row r="25" spans="1:19" ht="15" customHeight="1" x14ac:dyDescent="0.25">
      <c r="A25" s="12"/>
      <c r="B25" s="12"/>
      <c r="C25" s="12"/>
      <c r="D25" s="12"/>
      <c r="E25" s="12"/>
      <c r="F25" s="12"/>
      <c r="G25" s="12"/>
      <c r="H25" s="12"/>
      <c r="I25" s="19"/>
      <c r="J25" s="19"/>
      <c r="K25" s="12"/>
      <c r="L25" s="12"/>
      <c r="M25" s="19"/>
      <c r="N25" s="19"/>
      <c r="O25" s="12"/>
      <c r="P25" s="19"/>
      <c r="Q25" s="12"/>
      <c r="R25" s="12"/>
      <c r="S25" s="12"/>
    </row>
    <row r="26" spans="1:19" ht="15" customHeight="1" x14ac:dyDescent="0.25">
      <c r="A26" s="12"/>
      <c r="B26" s="12"/>
      <c r="C26" s="12"/>
      <c r="D26" s="12"/>
      <c r="E26" s="12"/>
      <c r="F26" s="12"/>
      <c r="G26" s="12"/>
      <c r="H26" s="12"/>
      <c r="I26" s="19"/>
      <c r="J26" s="19"/>
      <c r="K26" s="12"/>
      <c r="L26" s="12"/>
      <c r="M26" s="19"/>
      <c r="N26" s="19"/>
      <c r="O26" s="12"/>
      <c r="P26" s="19"/>
      <c r="Q26" s="12"/>
      <c r="R26" s="12"/>
      <c r="S26" s="12"/>
    </row>
    <row r="27" spans="1:19" ht="15" customHeight="1" x14ac:dyDescent="0.25">
      <c r="A27" s="12"/>
      <c r="B27" s="12"/>
      <c r="C27" s="12"/>
      <c r="D27" s="12"/>
      <c r="E27" s="12"/>
      <c r="F27" s="12"/>
      <c r="G27" s="12"/>
      <c r="H27" s="12"/>
      <c r="I27" s="19"/>
      <c r="J27" s="19"/>
      <c r="K27" s="12"/>
      <c r="L27" s="12"/>
      <c r="M27" s="19"/>
      <c r="N27" s="19"/>
      <c r="O27" s="12"/>
      <c r="P27" s="19"/>
      <c r="Q27" s="12"/>
      <c r="R27" s="12"/>
      <c r="S27" s="12"/>
    </row>
    <row r="28" spans="1:19" ht="15" customHeight="1" x14ac:dyDescent="0.25">
      <c r="A28" s="12"/>
      <c r="B28" s="12"/>
      <c r="C28" s="12"/>
      <c r="D28" s="12"/>
      <c r="E28" s="12"/>
      <c r="F28" s="12"/>
      <c r="G28" s="12"/>
      <c r="H28" s="12"/>
      <c r="I28" s="19"/>
      <c r="J28" s="19"/>
      <c r="K28" s="12"/>
      <c r="L28" s="12"/>
      <c r="M28" s="19"/>
      <c r="N28" s="19"/>
      <c r="O28" s="12"/>
      <c r="P28" s="19"/>
      <c r="Q28" s="12"/>
      <c r="R28" s="12"/>
      <c r="S28" s="12"/>
    </row>
    <row r="29" spans="1:19" ht="15" customHeight="1" x14ac:dyDescent="0.25">
      <c r="A29" s="12"/>
      <c r="B29" s="12"/>
      <c r="C29" s="12"/>
      <c r="D29" s="12"/>
      <c r="E29" s="12"/>
      <c r="F29" s="12"/>
      <c r="G29" s="12"/>
      <c r="H29" s="12"/>
      <c r="I29" s="19"/>
      <c r="J29" s="19"/>
      <c r="K29" s="12"/>
      <c r="L29" s="12"/>
      <c r="M29" s="19"/>
      <c r="N29" s="19"/>
      <c r="O29" s="12"/>
      <c r="P29" s="19"/>
      <c r="Q29" s="12"/>
      <c r="R29" s="12"/>
      <c r="S29" s="12"/>
    </row>
    <row r="30" spans="1:19" ht="15" customHeight="1" x14ac:dyDescent="0.25">
      <c r="A30" s="12"/>
      <c r="B30" s="12"/>
      <c r="C30" s="12"/>
      <c r="D30" s="12"/>
      <c r="E30" s="12"/>
      <c r="F30" s="12"/>
      <c r="G30" s="12"/>
      <c r="H30" s="12"/>
      <c r="I30" s="19"/>
      <c r="J30" s="19"/>
      <c r="K30" s="12"/>
      <c r="L30" s="12"/>
      <c r="M30" s="19"/>
      <c r="N30" s="19"/>
      <c r="O30" s="12"/>
      <c r="P30" s="19"/>
      <c r="Q30" s="12"/>
      <c r="R30" s="12"/>
      <c r="S30" s="12"/>
    </row>
    <row r="31" spans="1:19" ht="15" customHeight="1" x14ac:dyDescent="0.25">
      <c r="A31" s="12"/>
      <c r="B31" s="12"/>
      <c r="C31" s="12"/>
      <c r="D31" s="12"/>
      <c r="E31" s="12"/>
      <c r="F31" s="12"/>
      <c r="G31" s="12"/>
      <c r="H31" s="12"/>
      <c r="I31" s="19"/>
      <c r="J31" s="19"/>
      <c r="K31" s="12"/>
      <c r="L31" s="12"/>
      <c r="M31" s="19"/>
      <c r="N31" s="19"/>
      <c r="O31" s="12"/>
      <c r="P31" s="19"/>
      <c r="Q31" s="12"/>
      <c r="R31" s="12"/>
      <c r="S31" s="12"/>
    </row>
    <row r="32" spans="1:19" ht="15" customHeight="1" x14ac:dyDescent="0.25">
      <c r="A32" s="12"/>
      <c r="B32" s="12"/>
      <c r="C32" s="12"/>
      <c r="D32" s="12"/>
      <c r="E32" s="12"/>
      <c r="F32" s="12"/>
      <c r="G32" s="12"/>
      <c r="H32" s="12"/>
      <c r="I32" s="19"/>
      <c r="J32" s="19"/>
      <c r="K32" s="12"/>
      <c r="L32" s="12"/>
      <c r="M32" s="19"/>
      <c r="N32" s="19"/>
      <c r="O32" s="12"/>
      <c r="P32" s="19"/>
      <c r="Q32" s="12"/>
      <c r="R32" s="12"/>
      <c r="S32" s="12"/>
    </row>
    <row r="33" spans="1:19" ht="15" customHeight="1" x14ac:dyDescent="0.25">
      <c r="A33" s="12"/>
      <c r="B33" s="12"/>
      <c r="C33" s="12"/>
      <c r="D33" s="12"/>
      <c r="E33" s="12"/>
      <c r="F33" s="12"/>
      <c r="G33" s="12"/>
      <c r="H33" s="12"/>
      <c r="I33" s="19"/>
      <c r="J33" s="19"/>
      <c r="K33" s="12"/>
      <c r="L33" s="12"/>
      <c r="M33" s="19"/>
      <c r="N33" s="19"/>
      <c r="O33" s="12"/>
      <c r="P33" s="19"/>
      <c r="Q33" s="12"/>
      <c r="R33" s="12"/>
      <c r="S33" s="12"/>
    </row>
    <row r="34" spans="1:19" ht="15" customHeight="1" x14ac:dyDescent="0.25">
      <c r="A34" s="12"/>
      <c r="B34" s="12"/>
      <c r="C34" s="12"/>
      <c r="D34" s="12"/>
      <c r="E34" s="12"/>
      <c r="F34" s="12"/>
      <c r="G34" s="12"/>
      <c r="H34" s="12"/>
      <c r="I34" s="19"/>
      <c r="J34" s="19"/>
      <c r="K34" s="12"/>
      <c r="L34" s="12"/>
      <c r="M34" s="19"/>
      <c r="N34" s="19"/>
      <c r="O34" s="12"/>
      <c r="P34" s="19"/>
      <c r="Q34" s="12"/>
      <c r="R34" s="12"/>
      <c r="S34" s="12"/>
    </row>
    <row r="35" spans="1:19" ht="15" customHeight="1" x14ac:dyDescent="0.25">
      <c r="A35" s="12"/>
      <c r="B35" s="12"/>
      <c r="C35" s="12"/>
      <c r="D35" s="12"/>
      <c r="E35" s="12"/>
      <c r="F35" s="12"/>
      <c r="G35" s="12"/>
      <c r="H35" s="12"/>
      <c r="I35" s="19"/>
      <c r="J35" s="19"/>
      <c r="K35" s="12"/>
      <c r="L35" s="12"/>
      <c r="M35" s="19"/>
      <c r="N35" s="19"/>
      <c r="O35" s="12"/>
      <c r="P35" s="19"/>
      <c r="Q35" s="12"/>
      <c r="R35" s="12"/>
      <c r="S35" s="12"/>
    </row>
    <row r="36" spans="1:19" ht="15" customHeight="1" x14ac:dyDescent="0.25">
      <c r="A36" s="12"/>
      <c r="B36" s="12"/>
      <c r="C36" s="12"/>
      <c r="D36" s="12"/>
      <c r="E36" s="12"/>
      <c r="F36" s="12"/>
      <c r="G36" s="12"/>
      <c r="H36" s="12"/>
      <c r="I36" s="19"/>
      <c r="J36" s="19"/>
      <c r="K36" s="12"/>
      <c r="L36" s="12"/>
      <c r="M36" s="19"/>
      <c r="N36" s="19"/>
      <c r="O36" s="12"/>
      <c r="P36" s="19"/>
      <c r="Q36" s="12"/>
      <c r="R36" s="12"/>
      <c r="S36" s="12"/>
    </row>
    <row r="37" spans="1:19" ht="15" customHeight="1" x14ac:dyDescent="0.25">
      <c r="A37" s="12"/>
      <c r="B37" s="12"/>
      <c r="C37" s="12"/>
      <c r="D37" s="12"/>
      <c r="E37" s="12"/>
      <c r="F37" s="12"/>
      <c r="G37" s="12"/>
      <c r="H37" s="12"/>
      <c r="I37" s="19"/>
      <c r="J37" s="19"/>
      <c r="K37" s="12"/>
      <c r="L37" s="12"/>
      <c r="M37" s="19"/>
      <c r="N37" s="19"/>
      <c r="O37" s="12"/>
      <c r="P37" s="19"/>
      <c r="Q37" s="12"/>
      <c r="R37" s="12"/>
      <c r="S37" s="12"/>
    </row>
    <row r="38" spans="1:19" ht="15" customHeight="1" x14ac:dyDescent="0.25">
      <c r="A38" s="12"/>
      <c r="B38" s="12"/>
      <c r="C38" s="12"/>
      <c r="D38" s="12"/>
      <c r="E38" s="12"/>
      <c r="F38" s="12"/>
      <c r="G38" s="12"/>
      <c r="H38" s="12"/>
      <c r="I38" s="19"/>
      <c r="J38" s="19"/>
      <c r="K38" s="12"/>
      <c r="L38" s="12"/>
      <c r="M38" s="19"/>
      <c r="N38" s="19"/>
      <c r="O38" s="12"/>
      <c r="P38" s="19"/>
      <c r="Q38" s="12"/>
      <c r="R38" s="12"/>
      <c r="S38" s="12"/>
    </row>
    <row r="39" spans="1:19" ht="15" customHeight="1" x14ac:dyDescent="0.25">
      <c r="A39" s="12"/>
      <c r="B39" s="12"/>
      <c r="C39" s="12"/>
      <c r="D39" s="12"/>
      <c r="E39" s="12"/>
      <c r="F39" s="12"/>
      <c r="G39" s="12"/>
      <c r="H39" s="12"/>
      <c r="I39" s="19"/>
      <c r="J39" s="19"/>
      <c r="K39" s="12"/>
      <c r="L39" s="12"/>
      <c r="M39" s="19"/>
      <c r="N39" s="19"/>
      <c r="O39" s="12"/>
      <c r="P39" s="19"/>
      <c r="Q39" s="12"/>
      <c r="R39" s="12"/>
      <c r="S39" s="12"/>
    </row>
    <row r="40" spans="1:19" ht="15" customHeight="1" x14ac:dyDescent="0.25">
      <c r="A40" s="12"/>
      <c r="B40" s="12"/>
      <c r="C40" s="12"/>
      <c r="D40" s="12"/>
      <c r="E40" s="12"/>
      <c r="F40" s="12"/>
      <c r="G40" s="12"/>
      <c r="H40" s="12"/>
      <c r="I40" s="19"/>
      <c r="J40" s="19"/>
      <c r="K40" s="12"/>
      <c r="L40" s="12"/>
      <c r="M40" s="19"/>
      <c r="N40" s="19"/>
      <c r="O40" s="12"/>
      <c r="P40" s="19"/>
      <c r="Q40" s="12"/>
      <c r="R40" s="12"/>
      <c r="S40" s="12"/>
    </row>
    <row r="41" spans="1:19" ht="15" customHeight="1" x14ac:dyDescent="0.25">
      <c r="A41" s="12"/>
      <c r="B41" s="12"/>
      <c r="C41" s="12"/>
      <c r="D41" s="12"/>
      <c r="E41" s="12"/>
      <c r="F41" s="12"/>
      <c r="G41" s="12"/>
      <c r="H41" s="12"/>
      <c r="I41" s="19"/>
      <c r="J41" s="19"/>
      <c r="K41" s="12"/>
      <c r="L41" s="12"/>
      <c r="M41" s="19"/>
      <c r="N41" s="19"/>
      <c r="O41" s="12"/>
      <c r="P41" s="19"/>
      <c r="Q41" s="12"/>
      <c r="R41" s="12"/>
      <c r="S41" s="12"/>
    </row>
    <row r="42" spans="1:19" ht="15" customHeight="1" x14ac:dyDescent="0.25">
      <c r="A42" s="12"/>
      <c r="B42" s="12"/>
      <c r="C42" s="12"/>
      <c r="D42" s="12"/>
      <c r="E42" s="12"/>
      <c r="F42" s="12"/>
      <c r="G42" s="12"/>
      <c r="H42" s="12"/>
      <c r="I42" s="19"/>
      <c r="J42" s="19"/>
      <c r="K42" s="12"/>
      <c r="L42" s="12"/>
      <c r="M42" s="19"/>
      <c r="N42" s="19"/>
      <c r="O42" s="12"/>
      <c r="P42" s="19"/>
      <c r="Q42" s="12"/>
      <c r="R42" s="12"/>
      <c r="S42" s="12"/>
    </row>
    <row r="43" spans="1:19" ht="15" customHeight="1" x14ac:dyDescent="0.25">
      <c r="A43" s="12"/>
      <c r="B43" s="12"/>
      <c r="C43" s="12"/>
      <c r="D43" s="12"/>
      <c r="E43" s="12"/>
      <c r="F43" s="12"/>
      <c r="G43" s="12"/>
      <c r="H43" s="12"/>
      <c r="I43" s="19"/>
      <c r="J43" s="19"/>
      <c r="K43" s="12"/>
      <c r="L43" s="12"/>
      <c r="M43" s="19"/>
      <c r="N43" s="19"/>
      <c r="O43" s="12"/>
      <c r="P43" s="19"/>
      <c r="Q43" s="12"/>
      <c r="R43" s="12"/>
      <c r="S43" s="12"/>
    </row>
    <row r="44" spans="1:19" ht="15" customHeight="1" x14ac:dyDescent="0.25">
      <c r="A44" s="12"/>
      <c r="B44" s="12"/>
      <c r="C44" s="12"/>
      <c r="D44" s="12"/>
      <c r="E44" s="12"/>
      <c r="F44" s="12"/>
      <c r="G44" s="12"/>
      <c r="H44" s="12"/>
      <c r="I44" s="19"/>
      <c r="J44" s="19"/>
      <c r="K44" s="12"/>
      <c r="L44" s="12"/>
      <c r="M44" s="19"/>
      <c r="N44" s="19"/>
      <c r="O44" s="12"/>
      <c r="P44" s="19"/>
      <c r="Q44" s="12"/>
      <c r="R44" s="12"/>
      <c r="S44" s="12"/>
    </row>
    <row r="45" spans="1:19" ht="15" customHeight="1" x14ac:dyDescent="0.25">
      <c r="A45" s="12"/>
      <c r="B45" s="12"/>
      <c r="C45" s="12"/>
      <c r="D45" s="12"/>
      <c r="E45" s="12"/>
      <c r="F45" s="12"/>
      <c r="G45" s="12"/>
      <c r="H45" s="12"/>
      <c r="I45" s="19"/>
      <c r="J45" s="19"/>
      <c r="K45" s="12"/>
      <c r="L45" s="12"/>
      <c r="M45" s="19"/>
      <c r="N45" s="19"/>
      <c r="O45" s="12"/>
      <c r="P45" s="19"/>
      <c r="Q45" s="12"/>
      <c r="R45" s="12"/>
      <c r="S45" s="12"/>
    </row>
    <row r="46" spans="1:19" ht="15" customHeight="1" x14ac:dyDescent="0.25">
      <c r="A46" s="12"/>
      <c r="B46" s="12"/>
      <c r="C46" s="12"/>
      <c r="D46" s="12"/>
      <c r="E46" s="12"/>
      <c r="F46" s="12"/>
      <c r="G46" s="12"/>
      <c r="H46" s="12"/>
      <c r="I46" s="19"/>
      <c r="J46" s="19"/>
      <c r="K46" s="12"/>
      <c r="L46" s="12"/>
      <c r="M46" s="19"/>
      <c r="N46" s="19"/>
      <c r="O46" s="12"/>
      <c r="P46" s="19"/>
      <c r="Q46" s="12"/>
      <c r="R46" s="12"/>
      <c r="S46" s="12"/>
    </row>
    <row r="47" spans="1:19" ht="15" customHeight="1" x14ac:dyDescent="0.25">
      <c r="A47" s="12"/>
      <c r="B47" s="12"/>
      <c r="C47" s="12"/>
      <c r="D47" s="12"/>
      <c r="E47" s="12"/>
      <c r="F47" s="12"/>
      <c r="G47" s="12"/>
      <c r="H47" s="12"/>
      <c r="I47" s="19"/>
      <c r="J47" s="19"/>
      <c r="K47" s="12"/>
      <c r="L47" s="12"/>
      <c r="M47" s="19"/>
      <c r="N47" s="19"/>
      <c r="O47" s="12"/>
      <c r="P47" s="19"/>
      <c r="Q47" s="12"/>
      <c r="R47" s="12"/>
      <c r="S47" s="12"/>
    </row>
    <row r="48" spans="1:19" ht="15" customHeight="1" x14ac:dyDescent="0.25">
      <c r="A48" s="12"/>
      <c r="B48" s="12"/>
      <c r="C48" s="12"/>
      <c r="D48" s="12"/>
      <c r="E48" s="12"/>
      <c r="F48" s="12"/>
      <c r="G48" s="12"/>
      <c r="H48" s="12"/>
      <c r="I48" s="19"/>
      <c r="J48" s="19"/>
      <c r="K48" s="12"/>
      <c r="L48" s="12"/>
      <c r="M48" s="19"/>
      <c r="N48" s="19"/>
      <c r="O48" s="12"/>
      <c r="P48" s="19"/>
      <c r="Q48" s="12"/>
      <c r="R48" s="12"/>
      <c r="S48" s="12"/>
    </row>
    <row r="49" spans="1:19" ht="15" customHeight="1" x14ac:dyDescent="0.25">
      <c r="A49" s="12"/>
      <c r="B49" s="12"/>
      <c r="C49" s="12"/>
      <c r="D49" s="12"/>
      <c r="E49" s="12"/>
      <c r="F49" s="12"/>
      <c r="G49" s="12"/>
      <c r="H49" s="12"/>
      <c r="I49" s="19"/>
      <c r="J49" s="19"/>
      <c r="K49" s="12"/>
      <c r="L49" s="12"/>
      <c r="M49" s="19"/>
      <c r="N49" s="19"/>
      <c r="O49" s="12"/>
      <c r="P49" s="19"/>
      <c r="Q49" s="12"/>
      <c r="R49" s="12"/>
      <c r="S49" s="12"/>
    </row>
    <row r="50" spans="1:19" ht="15" customHeight="1" x14ac:dyDescent="0.25">
      <c r="A50" s="12"/>
      <c r="B50" s="12"/>
      <c r="C50" s="12"/>
      <c r="D50" s="12"/>
      <c r="E50" s="12"/>
      <c r="F50" s="12"/>
      <c r="G50" s="12"/>
      <c r="H50" s="12"/>
      <c r="I50" s="19"/>
      <c r="J50" s="19"/>
      <c r="K50" s="12"/>
      <c r="L50" s="12"/>
      <c r="M50" s="19"/>
      <c r="N50" s="19"/>
      <c r="O50" s="12"/>
      <c r="P50" s="19"/>
      <c r="Q50" s="12"/>
      <c r="R50" s="12"/>
      <c r="S50" s="12"/>
    </row>
    <row r="51" spans="1:19" ht="15" customHeight="1" x14ac:dyDescent="0.25">
      <c r="A51" s="12"/>
      <c r="B51" s="12"/>
      <c r="C51" s="12"/>
      <c r="D51" s="12"/>
      <c r="E51" s="12"/>
      <c r="F51" s="12"/>
      <c r="G51" s="12"/>
      <c r="H51" s="12"/>
      <c r="I51" s="19"/>
      <c r="J51" s="19"/>
      <c r="K51" s="12"/>
      <c r="L51" s="12"/>
      <c r="M51" s="19"/>
      <c r="N51" s="19"/>
      <c r="O51" s="12"/>
      <c r="P51" s="19"/>
      <c r="Q51" s="12"/>
      <c r="R51" s="12"/>
      <c r="S51" s="12"/>
    </row>
    <row r="52" spans="1:19" ht="15" customHeight="1" x14ac:dyDescent="0.25">
      <c r="A52" s="12"/>
      <c r="B52" s="12"/>
      <c r="C52" s="12"/>
      <c r="D52" s="12"/>
      <c r="E52" s="12"/>
      <c r="F52" s="12"/>
      <c r="G52" s="12"/>
      <c r="H52" s="12"/>
      <c r="I52" s="19"/>
      <c r="J52" s="19"/>
      <c r="K52" s="12"/>
      <c r="L52" s="12"/>
      <c r="M52" s="19"/>
      <c r="N52" s="19"/>
      <c r="O52" s="12"/>
      <c r="P52" s="19"/>
      <c r="Q52" s="12"/>
      <c r="R52" s="12"/>
      <c r="S52" s="12"/>
    </row>
    <row r="53" spans="1:19" ht="15" customHeight="1" x14ac:dyDescent="0.25">
      <c r="A53" s="12"/>
      <c r="B53" s="12"/>
      <c r="C53" s="12"/>
      <c r="D53" s="12"/>
      <c r="E53" s="12"/>
      <c r="F53" s="12"/>
      <c r="G53" s="12"/>
      <c r="H53" s="12"/>
      <c r="I53" s="19"/>
      <c r="J53" s="19"/>
      <c r="K53" s="12"/>
      <c r="L53" s="12"/>
      <c r="M53" s="19"/>
      <c r="N53" s="19"/>
      <c r="O53" s="12"/>
      <c r="P53" s="19"/>
      <c r="Q53" s="12"/>
      <c r="R53" s="12"/>
      <c r="S53" s="12"/>
    </row>
    <row r="54" spans="1:19" ht="15" customHeight="1" x14ac:dyDescent="0.25">
      <c r="A54" s="12"/>
      <c r="B54" s="12"/>
      <c r="C54" s="12"/>
      <c r="D54" s="12"/>
      <c r="E54" s="12"/>
      <c r="F54" s="12"/>
      <c r="G54" s="12"/>
      <c r="H54" s="12"/>
      <c r="I54" s="19"/>
      <c r="J54" s="19"/>
      <c r="K54" s="12"/>
      <c r="L54" s="12"/>
      <c r="M54" s="19"/>
      <c r="N54" s="19"/>
      <c r="O54" s="12"/>
      <c r="P54" s="19"/>
      <c r="Q54" s="12"/>
      <c r="R54" s="12"/>
      <c r="S54" s="12"/>
    </row>
    <row r="55" spans="1:19" ht="15" customHeight="1" x14ac:dyDescent="0.25">
      <c r="A55" s="12"/>
      <c r="B55" s="12"/>
      <c r="C55" s="12"/>
      <c r="D55" s="12"/>
      <c r="E55" s="12"/>
      <c r="F55" s="12"/>
      <c r="G55" s="12"/>
      <c r="H55" s="12"/>
      <c r="I55" s="19"/>
      <c r="J55" s="19"/>
      <c r="K55" s="12"/>
      <c r="L55" s="12"/>
      <c r="M55" s="19"/>
      <c r="N55" s="19"/>
      <c r="O55" s="12"/>
      <c r="P55" s="19"/>
      <c r="Q55" s="12"/>
      <c r="R55" s="12"/>
      <c r="S55" s="12"/>
    </row>
    <row r="56" spans="1:19" ht="15" customHeight="1" x14ac:dyDescent="0.25">
      <c r="A56" s="12"/>
      <c r="B56" s="12"/>
      <c r="C56" s="12"/>
      <c r="D56" s="12"/>
      <c r="E56" s="12"/>
      <c r="F56" s="12"/>
      <c r="G56" s="12"/>
      <c r="H56" s="12"/>
      <c r="I56" s="19"/>
      <c r="J56" s="19"/>
      <c r="K56" s="12"/>
      <c r="L56" s="12"/>
      <c r="M56" s="19"/>
      <c r="N56" s="19"/>
      <c r="O56" s="12"/>
      <c r="P56" s="19"/>
      <c r="Q56" s="12"/>
      <c r="R56" s="12"/>
      <c r="S56" s="12"/>
    </row>
    <row r="57" spans="1:19" ht="15" customHeight="1" x14ac:dyDescent="0.25">
      <c r="A57" s="12"/>
      <c r="B57" s="12"/>
      <c r="C57" s="12"/>
      <c r="D57" s="12"/>
      <c r="E57" s="12"/>
      <c r="F57" s="12"/>
      <c r="G57" s="12"/>
      <c r="H57" s="12"/>
      <c r="I57" s="19"/>
      <c r="J57" s="19"/>
      <c r="K57" s="12"/>
      <c r="L57" s="12"/>
      <c r="M57" s="19"/>
      <c r="N57" s="19"/>
      <c r="O57" s="12"/>
      <c r="P57" s="19"/>
      <c r="Q57" s="12"/>
      <c r="R57" s="12"/>
      <c r="S57" s="12"/>
    </row>
    <row r="58" spans="1:19" ht="15" customHeight="1" x14ac:dyDescent="0.25">
      <c r="A58" s="12"/>
      <c r="B58" s="12"/>
      <c r="C58" s="12"/>
      <c r="D58" s="12"/>
      <c r="E58" s="12"/>
      <c r="F58" s="12"/>
      <c r="G58" s="12"/>
      <c r="H58" s="12"/>
      <c r="I58" s="19"/>
      <c r="J58" s="19"/>
      <c r="K58" s="12"/>
      <c r="L58" s="12"/>
      <c r="M58" s="19"/>
      <c r="N58" s="19"/>
      <c r="O58" s="12"/>
      <c r="P58" s="19"/>
      <c r="Q58" s="12"/>
      <c r="R58" s="12"/>
      <c r="S58" s="12"/>
    </row>
    <row r="59" spans="1:19" ht="15" customHeight="1" x14ac:dyDescent="0.25">
      <c r="A59" s="12"/>
      <c r="B59" s="12"/>
      <c r="C59" s="12"/>
      <c r="D59" s="12"/>
      <c r="E59" s="12"/>
      <c r="F59" s="12"/>
      <c r="G59" s="12"/>
      <c r="H59" s="12"/>
      <c r="I59" s="19"/>
      <c r="J59" s="19"/>
      <c r="K59" s="12"/>
      <c r="L59" s="12"/>
      <c r="M59" s="19"/>
      <c r="N59" s="19"/>
      <c r="O59" s="12"/>
      <c r="P59" s="19"/>
      <c r="Q59" s="12"/>
      <c r="R59" s="12"/>
      <c r="S59" s="12"/>
    </row>
    <row r="60" spans="1:19" ht="15" customHeight="1" x14ac:dyDescent="0.25">
      <c r="A60" s="12"/>
      <c r="B60" s="12"/>
      <c r="C60" s="12"/>
      <c r="D60" s="12"/>
      <c r="E60" s="12"/>
      <c r="F60" s="12"/>
      <c r="G60" s="12"/>
      <c r="H60" s="12"/>
      <c r="I60" s="19"/>
      <c r="J60" s="19"/>
      <c r="K60" s="12"/>
      <c r="L60" s="12"/>
      <c r="M60" s="19"/>
      <c r="N60" s="19"/>
      <c r="O60" s="12"/>
      <c r="P60" s="19"/>
      <c r="Q60" s="12"/>
      <c r="R60" s="12"/>
      <c r="S60" s="12"/>
    </row>
    <row r="61" spans="1:19" ht="15" customHeight="1" x14ac:dyDescent="0.25">
      <c r="A61" s="12"/>
      <c r="B61" s="12"/>
      <c r="C61" s="12"/>
      <c r="D61" s="12"/>
      <c r="E61" s="12"/>
      <c r="F61" s="12"/>
      <c r="G61" s="12"/>
      <c r="H61" s="12"/>
      <c r="I61" s="19"/>
      <c r="J61" s="19"/>
      <c r="K61" s="12"/>
      <c r="L61" s="12"/>
      <c r="M61" s="19"/>
      <c r="N61" s="19"/>
      <c r="O61" s="12"/>
      <c r="P61" s="19"/>
      <c r="Q61" s="12"/>
      <c r="R61" s="12"/>
      <c r="S61" s="12"/>
    </row>
  </sheetData>
  <autoFilter ref="A1:S61" xr:uid="{00000000-0009-0000-0000-000004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ErrorMessage="1" error="Выберите значение из списка" xr:uid="{00000000-0002-0000-0400-000000000000}">
          <x14:formula1>
            <xm:f>Списки!$L$2:$L$4</xm:f>
          </x14:formula1>
          <x14:formula2>
            <xm:f>0</xm:f>
          </x14:formula2>
          <xm:sqref>P2:P61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0"/>
  <sheetViews>
    <sheetView zoomScaleNormal="100" workbookViewId="0">
      <pane xSplit="1" ySplit="1" topLeftCell="B2" activePane="bottomRight" state="frozen"/>
      <selection pane="topRight" activeCell="B1" sqref="B1"/>
      <selection pane="bottomLeft" activeCell="A2" sqref="A2"/>
      <selection pane="bottomRight" activeCell="I7" sqref="I7"/>
    </sheetView>
  </sheetViews>
  <sheetFormatPr defaultColWidth="8.7109375" defaultRowHeight="15" x14ac:dyDescent="0.25"/>
  <cols>
    <col min="1" max="1" width="20" style="18" customWidth="1"/>
    <col min="2" max="2" width="28" style="18" customWidth="1"/>
    <col min="3" max="4" width="34" style="18" customWidth="1"/>
    <col min="5" max="6" width="30" style="18" customWidth="1"/>
    <col min="7" max="7" width="22" style="18" customWidth="1"/>
    <col min="8" max="8" width="16" style="18" customWidth="1"/>
    <col min="9" max="9" width="40" style="18" customWidth="1"/>
    <col min="10" max="10" width="12" style="18" customWidth="1"/>
    <col min="11" max="11" width="34" style="18" customWidth="1"/>
    <col min="12" max="12" width="30" style="18" customWidth="1"/>
  </cols>
  <sheetData>
    <row r="1" spans="1:12" ht="42" customHeight="1" x14ac:dyDescent="0.25">
      <c r="A1" s="4" t="s">
        <v>499</v>
      </c>
      <c r="B1" s="4" t="s">
        <v>500</v>
      </c>
      <c r="C1" s="4" t="s">
        <v>501</v>
      </c>
      <c r="D1" s="4" t="s">
        <v>502</v>
      </c>
      <c r="E1" s="4" t="s">
        <v>503</v>
      </c>
      <c r="F1" s="4" t="s">
        <v>504</v>
      </c>
      <c r="G1" s="4" t="s">
        <v>505</v>
      </c>
      <c r="H1" s="4" t="s">
        <v>506</v>
      </c>
      <c r="I1" s="4" t="s">
        <v>507</v>
      </c>
      <c r="J1" s="4" t="s">
        <v>508</v>
      </c>
      <c r="K1" s="4" t="s">
        <v>509</v>
      </c>
      <c r="L1" s="4" t="s">
        <v>510</v>
      </c>
    </row>
    <row r="2" spans="1:12" ht="15" customHeight="1" x14ac:dyDescent="0.25">
      <c r="A2" s="23" t="s">
        <v>72</v>
      </c>
      <c r="B2" s="23" t="s">
        <v>511</v>
      </c>
      <c r="C2" s="23" t="s">
        <v>512</v>
      </c>
      <c r="D2" s="23" t="s">
        <v>513</v>
      </c>
      <c r="E2" s="23" t="s">
        <v>514</v>
      </c>
      <c r="F2" s="23" t="s">
        <v>515</v>
      </c>
      <c r="G2" s="23" t="s">
        <v>516</v>
      </c>
      <c r="H2" s="23" t="s">
        <v>517</v>
      </c>
      <c r="I2" s="23" t="s">
        <v>518</v>
      </c>
      <c r="J2" s="24" t="s">
        <v>12</v>
      </c>
      <c r="K2" s="12" t="s">
        <v>519</v>
      </c>
      <c r="L2" s="12" t="s">
        <v>520</v>
      </c>
    </row>
    <row r="3" spans="1:12" ht="15" customHeight="1" x14ac:dyDescent="0.25">
      <c r="A3" s="12" t="s">
        <v>77</v>
      </c>
      <c r="B3" s="12" t="s">
        <v>521</v>
      </c>
      <c r="C3" s="12" t="s">
        <v>522</v>
      </c>
      <c r="D3" s="12" t="s">
        <v>523</v>
      </c>
      <c r="E3" s="12" t="s">
        <v>524</v>
      </c>
      <c r="F3" s="12" t="s">
        <v>525</v>
      </c>
      <c r="G3" s="12" t="s">
        <v>516</v>
      </c>
      <c r="H3" s="12" t="s">
        <v>517</v>
      </c>
      <c r="I3" s="12" t="s">
        <v>526</v>
      </c>
      <c r="J3" s="19" t="s">
        <v>12</v>
      </c>
      <c r="K3" s="12" t="s">
        <v>527</v>
      </c>
      <c r="L3" s="12" t="s">
        <v>528</v>
      </c>
    </row>
    <row r="4" spans="1:12" ht="15" customHeight="1" x14ac:dyDescent="0.25">
      <c r="A4" s="12" t="s">
        <v>61</v>
      </c>
      <c r="B4" s="12"/>
      <c r="C4" s="12" t="s">
        <v>529</v>
      </c>
      <c r="D4" s="12" t="s">
        <v>530</v>
      </c>
      <c r="E4" s="12" t="s">
        <v>531</v>
      </c>
      <c r="F4" s="12" t="s">
        <v>532</v>
      </c>
      <c r="G4" s="12" t="s">
        <v>533</v>
      </c>
      <c r="H4" s="12" t="s">
        <v>534</v>
      </c>
      <c r="I4" s="38" t="s">
        <v>535</v>
      </c>
      <c r="J4" s="19" t="s">
        <v>536</v>
      </c>
      <c r="K4" s="12" t="s">
        <v>537</v>
      </c>
      <c r="L4" s="12" t="s">
        <v>538</v>
      </c>
    </row>
    <row r="5" spans="1:12" ht="15" customHeight="1" x14ac:dyDescent="0.25">
      <c r="A5" s="12" t="s">
        <v>67</v>
      </c>
      <c r="B5" s="12"/>
      <c r="C5" s="12" t="s">
        <v>539</v>
      </c>
      <c r="D5" s="12" t="s">
        <v>540</v>
      </c>
      <c r="E5" s="12" t="s">
        <v>541</v>
      </c>
      <c r="F5" s="12" t="s">
        <v>542</v>
      </c>
      <c r="G5" s="12" t="s">
        <v>543</v>
      </c>
      <c r="H5" s="12" t="s">
        <v>544</v>
      </c>
      <c r="I5" s="12" t="s">
        <v>545</v>
      </c>
      <c r="J5" s="19" t="s">
        <v>536</v>
      </c>
      <c r="K5" s="12" t="s">
        <v>546</v>
      </c>
      <c r="L5" s="12" t="s">
        <v>547</v>
      </c>
    </row>
    <row r="6" spans="1:12" ht="15" customHeight="1" x14ac:dyDescent="0.25">
      <c r="A6" s="12" t="s">
        <v>107</v>
      </c>
      <c r="B6" s="12"/>
      <c r="C6" s="12" t="s">
        <v>548</v>
      </c>
      <c r="D6" s="12" t="s">
        <v>549</v>
      </c>
      <c r="E6" s="12" t="s">
        <v>550</v>
      </c>
      <c r="F6" s="12" t="s">
        <v>551</v>
      </c>
      <c r="G6" s="12" t="s">
        <v>552</v>
      </c>
      <c r="H6" s="12" t="s">
        <v>553</v>
      </c>
      <c r="I6" s="12" t="s">
        <v>554</v>
      </c>
      <c r="J6" s="19" t="s">
        <v>536</v>
      </c>
      <c r="K6" s="12" t="s">
        <v>555</v>
      </c>
      <c r="L6" s="12" t="s">
        <v>556</v>
      </c>
    </row>
    <row r="7" spans="1:12" ht="15" customHeight="1" x14ac:dyDescent="0.25">
      <c r="A7" s="12" t="s">
        <v>92</v>
      </c>
      <c r="B7" s="12"/>
      <c r="C7" s="12"/>
      <c r="D7" s="12"/>
      <c r="E7" s="12"/>
      <c r="F7" s="12"/>
      <c r="G7" s="12" t="s">
        <v>557</v>
      </c>
      <c r="H7" s="12" t="s">
        <v>558</v>
      </c>
      <c r="I7" s="38" t="s">
        <v>559</v>
      </c>
      <c r="J7" s="19" t="s">
        <v>12</v>
      </c>
      <c r="K7" s="12"/>
      <c r="L7" s="12"/>
    </row>
    <row r="8" spans="1:12" ht="15" customHeight="1" x14ac:dyDescent="0.25">
      <c r="A8" s="12" t="s">
        <v>97</v>
      </c>
      <c r="B8" s="12"/>
      <c r="C8" s="12"/>
      <c r="D8" s="12"/>
      <c r="E8" s="12"/>
      <c r="F8" s="12"/>
      <c r="G8" s="12" t="s">
        <v>560</v>
      </c>
      <c r="H8" s="12" t="s">
        <v>561</v>
      </c>
      <c r="I8" s="12" t="s">
        <v>562</v>
      </c>
      <c r="J8" s="19" t="s">
        <v>12</v>
      </c>
      <c r="K8" s="12"/>
      <c r="L8" s="12"/>
    </row>
    <row r="9" spans="1:12" ht="15" customHeight="1" x14ac:dyDescent="0.25">
      <c r="A9" s="12" t="s">
        <v>113</v>
      </c>
      <c r="B9" s="12"/>
      <c r="C9" s="12"/>
      <c r="D9" s="12"/>
      <c r="E9" s="12"/>
      <c r="F9" s="12"/>
      <c r="G9" s="12" t="s">
        <v>563</v>
      </c>
      <c r="H9" s="12" t="s">
        <v>564</v>
      </c>
      <c r="I9" s="12" t="s">
        <v>565</v>
      </c>
      <c r="J9" s="19" t="s">
        <v>12</v>
      </c>
      <c r="K9" s="12"/>
      <c r="L9" s="12"/>
    </row>
    <row r="10" spans="1:12" ht="15" customHeight="1" x14ac:dyDescent="0.25">
      <c r="A10" s="12" t="s">
        <v>102</v>
      </c>
      <c r="B10" s="12"/>
      <c r="C10" s="12"/>
      <c r="D10" s="12"/>
      <c r="E10" s="12"/>
      <c r="F10" s="12"/>
      <c r="G10" s="12" t="s">
        <v>566</v>
      </c>
      <c r="H10" s="12" t="s">
        <v>567</v>
      </c>
      <c r="I10" s="12" t="s">
        <v>568</v>
      </c>
      <c r="J10" s="19" t="s">
        <v>536</v>
      </c>
      <c r="K10" s="12"/>
      <c r="L10" s="12"/>
    </row>
    <row r="11" spans="1:12" ht="15" customHeight="1" x14ac:dyDescent="0.25">
      <c r="A11" s="12"/>
      <c r="B11" s="12"/>
      <c r="C11" s="12"/>
      <c r="D11" s="12"/>
      <c r="E11" s="12"/>
      <c r="F11" s="12"/>
      <c r="G11" s="12"/>
      <c r="H11" s="12"/>
      <c r="I11" s="12"/>
      <c r="J11" s="19"/>
      <c r="K11" s="12"/>
      <c r="L11" s="12"/>
    </row>
    <row r="12" spans="1:12" ht="15" customHeight="1" x14ac:dyDescent="0.25">
      <c r="A12" s="12"/>
      <c r="B12" s="12"/>
      <c r="C12" s="12"/>
      <c r="D12" s="12"/>
      <c r="E12" s="12"/>
      <c r="F12" s="12"/>
      <c r="G12" s="12"/>
      <c r="H12" s="12"/>
      <c r="I12" s="12"/>
      <c r="J12" s="19"/>
      <c r="K12" s="12"/>
      <c r="L12" s="12"/>
    </row>
    <row r="13" spans="1:12" ht="15" customHeight="1" x14ac:dyDescent="0.25">
      <c r="A13" s="12"/>
      <c r="B13" s="12"/>
      <c r="C13" s="12"/>
      <c r="D13" s="12"/>
      <c r="E13" s="12"/>
      <c r="F13" s="12"/>
      <c r="G13" s="12"/>
      <c r="H13" s="12"/>
      <c r="I13" s="12"/>
      <c r="J13" s="19"/>
      <c r="K13" s="12"/>
      <c r="L13" s="12"/>
    </row>
    <row r="14" spans="1:12" ht="15" customHeight="1" x14ac:dyDescent="0.25">
      <c r="A14" s="12"/>
      <c r="B14" s="12"/>
      <c r="C14" s="12"/>
      <c r="D14" s="12"/>
      <c r="E14" s="12"/>
      <c r="F14" s="12"/>
      <c r="G14" s="12"/>
      <c r="H14" s="12"/>
      <c r="I14" s="12"/>
      <c r="J14" s="19"/>
      <c r="K14" s="12"/>
      <c r="L14" s="12"/>
    </row>
    <row r="15" spans="1:12" ht="15" customHeight="1" x14ac:dyDescent="0.25">
      <c r="A15" s="12"/>
      <c r="B15" s="12"/>
      <c r="C15" s="12"/>
      <c r="D15" s="12"/>
      <c r="E15" s="12"/>
      <c r="F15" s="12"/>
      <c r="G15" s="12"/>
      <c r="H15" s="12"/>
      <c r="I15" s="12"/>
      <c r="J15" s="19"/>
      <c r="K15" s="12"/>
      <c r="L15" s="12"/>
    </row>
    <row r="16" spans="1:12" ht="15" customHeight="1" x14ac:dyDescent="0.25">
      <c r="A16" s="12"/>
      <c r="B16" s="12"/>
      <c r="C16" s="12"/>
      <c r="D16" s="12"/>
      <c r="E16" s="12"/>
      <c r="F16" s="12"/>
      <c r="G16" s="12"/>
      <c r="H16" s="12"/>
      <c r="I16" s="12"/>
      <c r="J16" s="19"/>
      <c r="K16" s="12"/>
      <c r="L16" s="12"/>
    </row>
    <row r="17" spans="1:12" ht="15" customHeight="1" x14ac:dyDescent="0.25">
      <c r="A17" s="12"/>
      <c r="B17" s="12"/>
      <c r="C17" s="12"/>
      <c r="D17" s="12"/>
      <c r="E17" s="12"/>
      <c r="F17" s="12"/>
      <c r="G17" s="12"/>
      <c r="H17" s="12"/>
      <c r="I17" s="12"/>
      <c r="J17" s="19"/>
      <c r="K17" s="12"/>
      <c r="L17" s="12"/>
    </row>
    <row r="18" spans="1:12" ht="15" customHeight="1" x14ac:dyDescent="0.25">
      <c r="A18" s="12"/>
      <c r="B18" s="12"/>
      <c r="C18" s="12"/>
      <c r="D18" s="12"/>
      <c r="E18" s="12"/>
      <c r="F18" s="12"/>
      <c r="G18" s="12"/>
      <c r="H18" s="12"/>
      <c r="I18" s="12"/>
      <c r="J18" s="19"/>
      <c r="K18" s="12"/>
      <c r="L18" s="12"/>
    </row>
    <row r="19" spans="1:12" ht="15" customHeight="1" x14ac:dyDescent="0.25">
      <c r="A19" s="12"/>
      <c r="B19" s="12"/>
      <c r="C19" s="12"/>
      <c r="D19" s="12"/>
      <c r="E19" s="12"/>
      <c r="F19" s="12"/>
      <c r="G19" s="12"/>
      <c r="H19" s="12"/>
      <c r="I19" s="12"/>
      <c r="J19" s="19"/>
      <c r="K19" s="12"/>
      <c r="L19" s="12"/>
    </row>
    <row r="20" spans="1:12" ht="15" customHeight="1" x14ac:dyDescent="0.25">
      <c r="A20" s="12"/>
      <c r="B20" s="12"/>
      <c r="C20" s="12"/>
      <c r="D20" s="12"/>
      <c r="E20" s="12"/>
      <c r="F20" s="12"/>
      <c r="G20" s="12"/>
      <c r="H20" s="12"/>
      <c r="I20" s="12"/>
      <c r="J20" s="19"/>
      <c r="K20" s="12"/>
      <c r="L20" s="12"/>
    </row>
    <row r="21" spans="1:12" ht="15" customHeight="1" x14ac:dyDescent="0.25">
      <c r="A21" s="12"/>
      <c r="B21" s="12"/>
      <c r="C21" s="12"/>
      <c r="D21" s="12"/>
      <c r="E21" s="12"/>
      <c r="F21" s="12"/>
      <c r="G21" s="12"/>
      <c r="H21" s="12"/>
      <c r="I21" s="12"/>
      <c r="J21" s="19"/>
      <c r="K21" s="12"/>
      <c r="L21" s="12"/>
    </row>
    <row r="22" spans="1:12" ht="15" customHeight="1" x14ac:dyDescent="0.25">
      <c r="A22" s="12"/>
      <c r="B22" s="12"/>
      <c r="C22" s="12"/>
      <c r="D22" s="12"/>
      <c r="E22" s="12"/>
      <c r="F22" s="12"/>
      <c r="G22" s="12"/>
      <c r="H22" s="12"/>
      <c r="I22" s="12"/>
      <c r="J22" s="19"/>
      <c r="K22" s="12"/>
      <c r="L22" s="12"/>
    </row>
    <row r="23" spans="1:12" ht="15" customHeight="1" x14ac:dyDescent="0.25">
      <c r="A23" s="12"/>
      <c r="B23" s="12"/>
      <c r="C23" s="12"/>
      <c r="D23" s="12"/>
      <c r="E23" s="12"/>
      <c r="F23" s="12"/>
      <c r="G23" s="12"/>
      <c r="H23" s="12"/>
      <c r="I23" s="12"/>
      <c r="J23" s="19"/>
      <c r="K23" s="12"/>
      <c r="L23" s="12"/>
    </row>
    <row r="24" spans="1:12" ht="15" customHeight="1" x14ac:dyDescent="0.25">
      <c r="A24" s="12"/>
      <c r="B24" s="12"/>
      <c r="C24" s="12"/>
      <c r="D24" s="12"/>
      <c r="E24" s="12"/>
      <c r="F24" s="12"/>
      <c r="G24" s="12"/>
      <c r="H24" s="12"/>
      <c r="I24" s="12"/>
      <c r="J24" s="19"/>
      <c r="K24" s="12"/>
      <c r="L24" s="12"/>
    </row>
    <row r="25" spans="1:12" ht="15" customHeight="1" x14ac:dyDescent="0.25">
      <c r="A25" s="12"/>
      <c r="B25" s="12"/>
      <c r="C25" s="12"/>
      <c r="D25" s="12"/>
      <c r="E25" s="12"/>
      <c r="F25" s="12"/>
      <c r="G25" s="12"/>
      <c r="H25" s="12"/>
      <c r="I25" s="12"/>
      <c r="J25" s="19"/>
      <c r="K25" s="12"/>
      <c r="L25" s="12"/>
    </row>
    <row r="26" spans="1:12" ht="15" customHeight="1" x14ac:dyDescent="0.25">
      <c r="A26" s="12"/>
      <c r="B26" s="12"/>
      <c r="C26" s="12"/>
      <c r="D26" s="12"/>
      <c r="E26" s="12"/>
      <c r="F26" s="12"/>
      <c r="G26" s="12"/>
      <c r="H26" s="12"/>
      <c r="I26" s="12"/>
      <c r="J26" s="19"/>
      <c r="K26" s="12"/>
      <c r="L26" s="12"/>
    </row>
    <row r="27" spans="1:12" ht="15" customHeight="1" x14ac:dyDescent="0.25">
      <c r="A27" s="12"/>
      <c r="B27" s="12"/>
      <c r="C27" s="12"/>
      <c r="D27" s="12"/>
      <c r="E27" s="12"/>
      <c r="F27" s="12"/>
      <c r="G27" s="12"/>
      <c r="H27" s="12"/>
      <c r="I27" s="12"/>
      <c r="J27" s="19"/>
      <c r="K27" s="12"/>
      <c r="L27" s="12"/>
    </row>
    <row r="28" spans="1:12" ht="15" customHeight="1" x14ac:dyDescent="0.25">
      <c r="A28" s="12"/>
      <c r="B28" s="12"/>
      <c r="C28" s="12"/>
      <c r="D28" s="12"/>
      <c r="E28" s="12"/>
      <c r="F28" s="12"/>
      <c r="G28" s="12"/>
      <c r="H28" s="12"/>
      <c r="I28" s="12"/>
      <c r="J28" s="19"/>
      <c r="K28" s="12"/>
      <c r="L28" s="12"/>
    </row>
    <row r="29" spans="1:12" ht="15" customHeight="1" x14ac:dyDescent="0.25">
      <c r="A29" s="12"/>
      <c r="B29" s="12"/>
      <c r="C29" s="12"/>
      <c r="D29" s="12"/>
      <c r="E29" s="12"/>
      <c r="F29" s="12"/>
      <c r="G29" s="12"/>
      <c r="H29" s="12"/>
      <c r="I29" s="12"/>
      <c r="J29" s="19"/>
      <c r="K29" s="12"/>
      <c r="L29" s="12"/>
    </row>
    <row r="30" spans="1:12" ht="15" customHeight="1" x14ac:dyDescent="0.25">
      <c r="A30" s="12"/>
      <c r="B30" s="12"/>
      <c r="C30" s="12"/>
      <c r="D30" s="12"/>
      <c r="E30" s="12"/>
      <c r="F30" s="12"/>
      <c r="G30" s="12"/>
      <c r="H30" s="12"/>
      <c r="I30" s="12"/>
      <c r="J30" s="19"/>
      <c r="K30" s="12"/>
      <c r="L30" s="12"/>
    </row>
    <row r="31" spans="1:12" ht="15" customHeight="1" x14ac:dyDescent="0.25">
      <c r="A31" s="12"/>
      <c r="B31" s="12"/>
      <c r="C31" s="12"/>
      <c r="D31" s="12"/>
      <c r="E31" s="12"/>
      <c r="F31" s="12"/>
      <c r="G31" s="12"/>
      <c r="H31" s="12"/>
      <c r="I31" s="12"/>
      <c r="J31" s="19"/>
      <c r="K31" s="12"/>
      <c r="L31" s="12"/>
    </row>
    <row r="32" spans="1:12" ht="15" customHeight="1" x14ac:dyDescent="0.25">
      <c r="A32" s="12"/>
      <c r="B32" s="12"/>
      <c r="C32" s="12"/>
      <c r="D32" s="12"/>
      <c r="E32" s="12"/>
      <c r="F32" s="12"/>
      <c r="G32" s="12"/>
      <c r="H32" s="12"/>
      <c r="I32" s="12"/>
      <c r="J32" s="19"/>
      <c r="K32" s="12"/>
      <c r="L32" s="12"/>
    </row>
    <row r="33" spans="1:12" ht="15" customHeight="1" x14ac:dyDescent="0.25">
      <c r="A33" s="12"/>
      <c r="B33" s="12"/>
      <c r="C33" s="12"/>
      <c r="D33" s="12"/>
      <c r="E33" s="12"/>
      <c r="F33" s="12"/>
      <c r="G33" s="12"/>
      <c r="H33" s="12"/>
      <c r="I33" s="12"/>
      <c r="J33" s="19"/>
      <c r="K33" s="12"/>
      <c r="L33" s="12"/>
    </row>
    <row r="34" spans="1:12" ht="15" customHeight="1" x14ac:dyDescent="0.25">
      <c r="A34" s="12"/>
      <c r="B34" s="12"/>
      <c r="C34" s="12"/>
      <c r="D34" s="12"/>
      <c r="E34" s="12"/>
      <c r="F34" s="12"/>
      <c r="G34" s="12"/>
      <c r="H34" s="12"/>
      <c r="I34" s="12"/>
      <c r="J34" s="19"/>
      <c r="K34" s="12"/>
      <c r="L34" s="12"/>
    </row>
    <row r="35" spans="1:12" ht="15" customHeight="1" x14ac:dyDescent="0.25">
      <c r="A35" s="12"/>
      <c r="B35" s="12"/>
      <c r="C35" s="12"/>
      <c r="D35" s="12"/>
      <c r="E35" s="12"/>
      <c r="F35" s="12"/>
      <c r="G35" s="12"/>
      <c r="H35" s="12"/>
      <c r="I35" s="12"/>
      <c r="J35" s="19"/>
      <c r="K35" s="12"/>
      <c r="L35" s="12"/>
    </row>
    <row r="36" spans="1:12" ht="15" customHeight="1" x14ac:dyDescent="0.25">
      <c r="A36" s="12"/>
      <c r="B36" s="12"/>
      <c r="C36" s="12"/>
      <c r="D36" s="12"/>
      <c r="E36" s="12"/>
      <c r="F36" s="12"/>
      <c r="G36" s="12"/>
      <c r="H36" s="12"/>
      <c r="I36" s="12"/>
      <c r="J36" s="19"/>
      <c r="K36" s="12"/>
      <c r="L36" s="12"/>
    </row>
    <row r="37" spans="1:12" ht="15" customHeight="1" x14ac:dyDescent="0.25">
      <c r="A37" s="12"/>
      <c r="B37" s="12"/>
      <c r="C37" s="12"/>
      <c r="D37" s="12"/>
      <c r="E37" s="12"/>
      <c r="F37" s="12"/>
      <c r="G37" s="12"/>
      <c r="H37" s="12"/>
      <c r="I37" s="12"/>
      <c r="J37" s="19"/>
      <c r="K37" s="12"/>
      <c r="L37" s="12"/>
    </row>
    <row r="38" spans="1:12" ht="15" customHeight="1" x14ac:dyDescent="0.25">
      <c r="A38" s="12"/>
      <c r="B38" s="12"/>
      <c r="C38" s="12"/>
      <c r="D38" s="12"/>
      <c r="E38" s="12"/>
      <c r="F38" s="12"/>
      <c r="G38" s="12"/>
      <c r="H38" s="12"/>
      <c r="I38" s="12"/>
      <c r="J38" s="19"/>
      <c r="K38" s="12"/>
      <c r="L38" s="12"/>
    </row>
    <row r="39" spans="1:12" ht="15" customHeight="1" x14ac:dyDescent="0.25">
      <c r="A39" s="12"/>
      <c r="B39" s="12"/>
      <c r="C39" s="12"/>
      <c r="D39" s="12"/>
      <c r="E39" s="12"/>
      <c r="F39" s="12"/>
      <c r="G39" s="12"/>
      <c r="H39" s="12"/>
      <c r="I39" s="12"/>
      <c r="J39" s="19"/>
      <c r="K39" s="12"/>
      <c r="L39" s="12"/>
    </row>
    <row r="40" spans="1:12" ht="15" customHeight="1" x14ac:dyDescent="0.25">
      <c r="A40" s="12"/>
      <c r="B40" s="12"/>
      <c r="C40" s="12"/>
      <c r="D40" s="12"/>
      <c r="E40" s="12"/>
      <c r="F40" s="12"/>
      <c r="G40" s="12"/>
      <c r="H40" s="12"/>
      <c r="I40" s="12"/>
      <c r="J40" s="19"/>
      <c r="K40" s="12"/>
      <c r="L40" s="12"/>
    </row>
    <row r="41" spans="1:12" ht="15" customHeight="1" x14ac:dyDescent="0.25">
      <c r="A41" s="12"/>
      <c r="B41" s="12"/>
      <c r="C41" s="12"/>
      <c r="D41" s="12"/>
      <c r="E41" s="12"/>
      <c r="F41" s="12"/>
      <c r="G41" s="12"/>
      <c r="H41" s="12"/>
      <c r="I41" s="12"/>
      <c r="J41" s="19"/>
      <c r="K41" s="12"/>
      <c r="L41" s="12"/>
    </row>
    <row r="42" spans="1:12" ht="15" customHeight="1" x14ac:dyDescent="0.25">
      <c r="A42" s="12"/>
      <c r="B42" s="12"/>
      <c r="C42" s="12"/>
      <c r="D42" s="12"/>
      <c r="E42" s="12"/>
      <c r="F42" s="12"/>
      <c r="G42" s="12"/>
      <c r="H42" s="12"/>
      <c r="I42" s="12"/>
      <c r="J42" s="19"/>
      <c r="K42" s="12"/>
      <c r="L42" s="12"/>
    </row>
    <row r="43" spans="1:12" ht="15" customHeight="1" x14ac:dyDescent="0.25">
      <c r="A43" s="12"/>
      <c r="B43" s="12"/>
      <c r="C43" s="12"/>
      <c r="D43" s="12"/>
      <c r="E43" s="12"/>
      <c r="F43" s="12"/>
      <c r="G43" s="12"/>
      <c r="H43" s="12"/>
      <c r="I43" s="12"/>
      <c r="J43" s="19"/>
      <c r="K43" s="12"/>
      <c r="L43" s="12"/>
    </row>
    <row r="44" spans="1:12" ht="15" customHeight="1" x14ac:dyDescent="0.25">
      <c r="A44" s="12"/>
      <c r="B44" s="12"/>
      <c r="C44" s="12"/>
      <c r="D44" s="12"/>
      <c r="E44" s="12"/>
      <c r="F44" s="12"/>
      <c r="G44" s="12"/>
      <c r="H44" s="12"/>
      <c r="I44" s="12"/>
      <c r="J44" s="19"/>
      <c r="K44" s="12"/>
      <c r="L44" s="12"/>
    </row>
    <row r="45" spans="1:12" ht="15" customHeight="1" x14ac:dyDescent="0.25">
      <c r="A45" s="12"/>
      <c r="B45" s="12"/>
      <c r="C45" s="12"/>
      <c r="D45" s="12"/>
      <c r="E45" s="12"/>
      <c r="F45" s="12"/>
      <c r="G45" s="12"/>
      <c r="H45" s="12"/>
      <c r="I45" s="12"/>
      <c r="J45" s="19"/>
      <c r="K45" s="12"/>
      <c r="L45" s="12"/>
    </row>
    <row r="46" spans="1:12" ht="15" customHeight="1" x14ac:dyDescent="0.25">
      <c r="A46" s="12"/>
      <c r="B46" s="12"/>
      <c r="C46" s="12"/>
      <c r="D46" s="12"/>
      <c r="E46" s="12"/>
      <c r="F46" s="12"/>
      <c r="G46" s="12"/>
      <c r="H46" s="12"/>
      <c r="I46" s="12"/>
      <c r="J46" s="19"/>
      <c r="K46" s="12"/>
      <c r="L46" s="12"/>
    </row>
    <row r="47" spans="1:12" ht="15" customHeight="1" x14ac:dyDescent="0.25">
      <c r="A47" s="12"/>
      <c r="B47" s="12"/>
      <c r="C47" s="12"/>
      <c r="D47" s="12"/>
      <c r="E47" s="12"/>
      <c r="F47" s="12"/>
      <c r="G47" s="12"/>
      <c r="H47" s="12"/>
      <c r="I47" s="12"/>
      <c r="J47" s="19"/>
      <c r="K47" s="12"/>
      <c r="L47" s="12"/>
    </row>
    <row r="48" spans="1:12" ht="15" customHeight="1" x14ac:dyDescent="0.25">
      <c r="A48" s="12"/>
      <c r="B48" s="12"/>
      <c r="C48" s="12"/>
      <c r="D48" s="12"/>
      <c r="E48" s="12"/>
      <c r="F48" s="12"/>
      <c r="G48" s="12"/>
      <c r="H48" s="12"/>
      <c r="I48" s="12"/>
      <c r="J48" s="19"/>
      <c r="K48" s="12"/>
      <c r="L48" s="12"/>
    </row>
    <row r="49" spans="1:12" ht="15" customHeight="1" x14ac:dyDescent="0.25">
      <c r="A49" s="12"/>
      <c r="B49" s="12"/>
      <c r="C49" s="12"/>
      <c r="D49" s="12"/>
      <c r="E49" s="12"/>
      <c r="F49" s="12"/>
      <c r="G49" s="12"/>
      <c r="H49" s="12"/>
      <c r="I49" s="12"/>
      <c r="J49" s="19"/>
      <c r="K49" s="12"/>
      <c r="L49" s="12"/>
    </row>
    <row r="50" spans="1:12" ht="15" customHeight="1" x14ac:dyDescent="0.25">
      <c r="A50" s="12"/>
      <c r="B50" s="12"/>
      <c r="C50" s="12"/>
      <c r="D50" s="12"/>
      <c r="E50" s="12"/>
      <c r="F50" s="12"/>
      <c r="G50" s="12"/>
      <c r="H50" s="12"/>
      <c r="I50" s="12"/>
      <c r="J50" s="19"/>
      <c r="K50" s="12"/>
      <c r="L50" s="12"/>
    </row>
    <row r="51" spans="1:12" ht="15" customHeight="1" x14ac:dyDescent="0.25">
      <c r="A51" s="12"/>
      <c r="B51" s="12"/>
      <c r="C51" s="12"/>
      <c r="D51" s="12"/>
      <c r="E51" s="12"/>
      <c r="F51" s="12"/>
      <c r="G51" s="12"/>
      <c r="H51" s="12"/>
      <c r="I51" s="12"/>
      <c r="J51" s="19"/>
      <c r="K51" s="12"/>
      <c r="L51" s="12"/>
    </row>
    <row r="52" spans="1:12" ht="15" customHeight="1" x14ac:dyDescent="0.25">
      <c r="A52" s="12"/>
      <c r="B52" s="12"/>
      <c r="C52" s="12"/>
      <c r="D52" s="12"/>
      <c r="E52" s="12"/>
      <c r="F52" s="12"/>
      <c r="G52" s="12"/>
      <c r="H52" s="12"/>
      <c r="I52" s="12"/>
      <c r="J52" s="19"/>
      <c r="K52" s="12"/>
      <c r="L52" s="12"/>
    </row>
    <row r="53" spans="1:12" ht="15" customHeight="1" x14ac:dyDescent="0.25">
      <c r="A53" s="12"/>
      <c r="B53" s="12"/>
      <c r="C53" s="12"/>
      <c r="D53" s="12"/>
      <c r="E53" s="12"/>
      <c r="F53" s="12"/>
      <c r="G53" s="12"/>
      <c r="H53" s="12"/>
      <c r="I53" s="12"/>
      <c r="J53" s="19"/>
      <c r="K53" s="12"/>
      <c r="L53" s="12"/>
    </row>
    <row r="54" spans="1:12" ht="15" customHeight="1" x14ac:dyDescent="0.25">
      <c r="A54" s="12"/>
      <c r="B54" s="12"/>
      <c r="C54" s="12"/>
      <c r="D54" s="12"/>
      <c r="E54" s="12"/>
      <c r="F54" s="12"/>
      <c r="G54" s="12"/>
      <c r="H54" s="12"/>
      <c r="I54" s="12"/>
      <c r="J54" s="19"/>
      <c r="K54" s="12"/>
      <c r="L54" s="12"/>
    </row>
    <row r="55" spans="1:12" ht="15" customHeight="1" x14ac:dyDescent="0.25">
      <c r="A55" s="12"/>
      <c r="B55" s="12"/>
      <c r="C55" s="12"/>
      <c r="D55" s="12"/>
      <c r="E55" s="12"/>
      <c r="F55" s="12"/>
      <c r="G55" s="12"/>
      <c r="H55" s="12"/>
      <c r="I55" s="12"/>
      <c r="J55" s="19"/>
      <c r="K55" s="12"/>
      <c r="L55" s="12"/>
    </row>
    <row r="56" spans="1:12" ht="15" customHeight="1" x14ac:dyDescent="0.25">
      <c r="A56" s="12"/>
      <c r="B56" s="12"/>
      <c r="C56" s="12"/>
      <c r="D56" s="12"/>
      <c r="E56" s="12"/>
      <c r="F56" s="12"/>
      <c r="G56" s="12"/>
      <c r="H56" s="12"/>
      <c r="I56" s="12"/>
      <c r="J56" s="19"/>
      <c r="K56" s="12"/>
      <c r="L56" s="12"/>
    </row>
    <row r="57" spans="1:12" ht="15" customHeight="1" x14ac:dyDescent="0.25">
      <c r="A57" s="12"/>
      <c r="B57" s="12"/>
      <c r="C57" s="12"/>
      <c r="D57" s="12"/>
      <c r="E57" s="12"/>
      <c r="F57" s="12"/>
      <c r="G57" s="12"/>
      <c r="H57" s="12"/>
      <c r="I57" s="12"/>
      <c r="J57" s="19"/>
      <c r="K57" s="12"/>
      <c r="L57" s="12"/>
    </row>
    <row r="58" spans="1:12" ht="15" customHeight="1" x14ac:dyDescent="0.25">
      <c r="A58" s="12"/>
      <c r="B58" s="12"/>
      <c r="C58" s="12"/>
      <c r="D58" s="12"/>
      <c r="E58" s="12"/>
      <c r="F58" s="12"/>
      <c r="G58" s="12"/>
      <c r="H58" s="12"/>
      <c r="I58" s="12"/>
      <c r="J58" s="19"/>
      <c r="K58" s="12"/>
      <c r="L58" s="12"/>
    </row>
    <row r="59" spans="1:12" ht="15" customHeight="1" x14ac:dyDescent="0.25">
      <c r="A59" s="12"/>
      <c r="B59" s="12"/>
      <c r="C59" s="12"/>
      <c r="D59" s="12"/>
      <c r="E59" s="12"/>
      <c r="F59" s="12"/>
      <c r="G59" s="12"/>
      <c r="H59" s="12"/>
      <c r="I59" s="12"/>
      <c r="J59" s="19"/>
      <c r="K59" s="12"/>
      <c r="L59" s="12"/>
    </row>
    <row r="60" spans="1:12" ht="15" customHeight="1" x14ac:dyDescent="0.25">
      <c r="A60" s="12"/>
      <c r="B60" s="12"/>
      <c r="C60" s="12"/>
      <c r="D60" s="12"/>
      <c r="E60" s="12"/>
      <c r="F60" s="12"/>
      <c r="G60" s="12"/>
      <c r="H60" s="12"/>
      <c r="I60" s="12"/>
      <c r="J60" s="19"/>
      <c r="K60" s="12"/>
      <c r="L60" s="12"/>
    </row>
  </sheetData>
  <hyperlinks>
    <hyperlink ref="I4" r:id="rId1" xr:uid="{AA3EF642-E240-4E22-BEEA-C32F5475BEED}"/>
    <hyperlink ref="I7" r:id="rId2" xr:uid="{6FACE1CB-935B-4161-854B-97E273771E02}"/>
  </hyperlink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Выберите значение из списка" xr:uid="{00000000-0002-0000-0500-000000000000}">
          <x14:formula1>
            <xm:f>Списки!$L$2:$L$4</xm:f>
          </x14:formula1>
          <x14:formula2>
            <xm:f>0</xm:f>
          </x14:formula2>
          <xm:sqref>J2:J60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20" style="18" customWidth="1"/>
    <col min="2" max="2" width="58" style="18" customWidth="1"/>
    <col min="3" max="3" width="52" style="18" customWidth="1"/>
    <col min="4" max="4" width="14" style="18" customWidth="1"/>
    <col min="5" max="5" width="13" style="18" customWidth="1"/>
    <col min="6" max="6" width="44" style="18" customWidth="1"/>
    <col min="7" max="7" width="10" style="18" customWidth="1"/>
    <col min="8" max="8" width="44" style="18" customWidth="1"/>
  </cols>
  <sheetData>
    <row r="1" spans="1:8" ht="42" customHeight="1" x14ac:dyDescent="0.25">
      <c r="A1" s="4" t="s">
        <v>499</v>
      </c>
      <c r="B1" s="4" t="s">
        <v>569</v>
      </c>
      <c r="C1" s="4" t="s">
        <v>570</v>
      </c>
      <c r="D1" s="4" t="s">
        <v>571</v>
      </c>
      <c r="E1" s="4" t="s">
        <v>572</v>
      </c>
      <c r="F1" s="4" t="s">
        <v>573</v>
      </c>
      <c r="G1" s="4" t="s">
        <v>7</v>
      </c>
      <c r="H1" s="4" t="s">
        <v>574</v>
      </c>
    </row>
    <row r="2" spans="1:8" ht="23.25" customHeight="1" x14ac:dyDescent="0.25">
      <c r="A2" s="12" t="s">
        <v>67</v>
      </c>
      <c r="B2" s="12" t="s">
        <v>575</v>
      </c>
      <c r="C2" s="12" t="s">
        <v>576</v>
      </c>
      <c r="D2" s="19" t="s">
        <v>577</v>
      </c>
      <c r="E2" s="19" t="s">
        <v>578</v>
      </c>
      <c r="F2" s="12" t="s">
        <v>579</v>
      </c>
      <c r="G2" s="19" t="s">
        <v>580</v>
      </c>
      <c r="H2" s="12"/>
    </row>
    <row r="3" spans="1:8" ht="23.25" customHeight="1" x14ac:dyDescent="0.25">
      <c r="A3" s="12" t="s">
        <v>67</v>
      </c>
      <c r="B3" s="12" t="s">
        <v>581</v>
      </c>
      <c r="C3" s="12" t="s">
        <v>582</v>
      </c>
      <c r="D3" s="19" t="s">
        <v>583</v>
      </c>
      <c r="E3" s="19" t="s">
        <v>578</v>
      </c>
      <c r="F3" s="12" t="s">
        <v>584</v>
      </c>
      <c r="G3" s="19" t="s">
        <v>580</v>
      </c>
      <c r="H3" s="12" t="s">
        <v>585</v>
      </c>
    </row>
    <row r="4" spans="1:8" ht="23.25" customHeight="1" x14ac:dyDescent="0.25">
      <c r="A4" s="12" t="s">
        <v>67</v>
      </c>
      <c r="B4" s="12" t="s">
        <v>586</v>
      </c>
      <c r="C4" s="12" t="s">
        <v>587</v>
      </c>
      <c r="D4" s="19" t="s">
        <v>583</v>
      </c>
      <c r="E4" s="19" t="s">
        <v>578</v>
      </c>
      <c r="F4" s="12" t="s">
        <v>588</v>
      </c>
      <c r="G4" s="19" t="s">
        <v>580</v>
      </c>
      <c r="H4" s="12" t="s">
        <v>589</v>
      </c>
    </row>
    <row r="5" spans="1:8" ht="23.25" customHeight="1" x14ac:dyDescent="0.25">
      <c r="A5" s="12" t="s">
        <v>102</v>
      </c>
      <c r="B5" s="12" t="s">
        <v>590</v>
      </c>
      <c r="C5" s="12" t="s">
        <v>591</v>
      </c>
      <c r="D5" s="19" t="s">
        <v>583</v>
      </c>
      <c r="E5" s="19" t="s">
        <v>578</v>
      </c>
      <c r="F5" s="12" t="s">
        <v>592</v>
      </c>
      <c r="G5" s="19" t="s">
        <v>580</v>
      </c>
      <c r="H5" s="12" t="s">
        <v>593</v>
      </c>
    </row>
    <row r="6" spans="1:8" ht="23.25" customHeight="1" x14ac:dyDescent="0.25">
      <c r="A6" s="12" t="s">
        <v>102</v>
      </c>
      <c r="B6" s="12" t="s">
        <v>594</v>
      </c>
      <c r="C6" s="12" t="s">
        <v>595</v>
      </c>
      <c r="D6" s="19" t="s">
        <v>596</v>
      </c>
      <c r="E6" s="19" t="s">
        <v>578</v>
      </c>
      <c r="F6" s="12" t="s">
        <v>597</v>
      </c>
      <c r="G6" s="19" t="s">
        <v>580</v>
      </c>
      <c r="H6" s="12" t="s">
        <v>598</v>
      </c>
    </row>
    <row r="7" spans="1:8" ht="23.25" customHeight="1" x14ac:dyDescent="0.25">
      <c r="A7" s="12" t="s">
        <v>102</v>
      </c>
      <c r="B7" s="12" t="s">
        <v>599</v>
      </c>
      <c r="C7" s="12" t="s">
        <v>600</v>
      </c>
      <c r="D7" s="19" t="s">
        <v>601</v>
      </c>
      <c r="E7" s="19" t="s">
        <v>578</v>
      </c>
      <c r="F7" s="12" t="s">
        <v>602</v>
      </c>
      <c r="G7" s="19" t="s">
        <v>580</v>
      </c>
      <c r="H7" s="12" t="s">
        <v>603</v>
      </c>
    </row>
    <row r="8" spans="1:8" ht="34.5" customHeight="1" x14ac:dyDescent="0.25">
      <c r="A8" s="12" t="s">
        <v>107</v>
      </c>
      <c r="B8" s="12" t="s">
        <v>604</v>
      </c>
      <c r="C8" s="12" t="s">
        <v>605</v>
      </c>
      <c r="D8" s="19" t="s">
        <v>577</v>
      </c>
      <c r="E8" s="19" t="s">
        <v>578</v>
      </c>
      <c r="F8" s="12" t="s">
        <v>606</v>
      </c>
      <c r="G8" s="19" t="s">
        <v>580</v>
      </c>
      <c r="H8" s="12"/>
    </row>
    <row r="9" spans="1:8" ht="23.25" customHeight="1" x14ac:dyDescent="0.25">
      <c r="A9" s="12" t="s">
        <v>107</v>
      </c>
      <c r="B9" s="12" t="s">
        <v>607</v>
      </c>
      <c r="C9" s="12" t="s">
        <v>608</v>
      </c>
      <c r="D9" s="19" t="s">
        <v>583</v>
      </c>
      <c r="E9" s="19" t="s">
        <v>578</v>
      </c>
      <c r="F9" s="12" t="s">
        <v>609</v>
      </c>
      <c r="G9" s="19" t="s">
        <v>580</v>
      </c>
      <c r="H9" s="12"/>
    </row>
    <row r="10" spans="1:8" ht="23.25" customHeight="1" x14ac:dyDescent="0.25">
      <c r="A10" s="12" t="s">
        <v>107</v>
      </c>
      <c r="B10" s="12" t="s">
        <v>610</v>
      </c>
      <c r="C10" s="12" t="s">
        <v>611</v>
      </c>
      <c r="D10" s="19" t="s">
        <v>601</v>
      </c>
      <c r="E10" s="19" t="s">
        <v>578</v>
      </c>
      <c r="F10" s="12" t="s">
        <v>612</v>
      </c>
      <c r="G10" s="19" t="s">
        <v>580</v>
      </c>
      <c r="H10" s="12" t="s">
        <v>613</v>
      </c>
    </row>
    <row r="11" spans="1:8" ht="15" customHeight="1" x14ac:dyDescent="0.25">
      <c r="A11" s="12" t="s">
        <v>67</v>
      </c>
      <c r="B11" s="12" t="s">
        <v>614</v>
      </c>
      <c r="C11" s="12"/>
      <c r="D11" s="19" t="s">
        <v>615</v>
      </c>
      <c r="E11" s="19"/>
      <c r="F11" s="12" t="s">
        <v>616</v>
      </c>
      <c r="G11" s="19" t="s">
        <v>617</v>
      </c>
      <c r="H11" s="12"/>
    </row>
    <row r="12" spans="1:8" ht="15" customHeight="1" x14ac:dyDescent="0.25">
      <c r="A12" s="12" t="s">
        <v>67</v>
      </c>
      <c r="B12" s="12" t="s">
        <v>618</v>
      </c>
      <c r="C12" s="12"/>
      <c r="D12" s="19" t="s">
        <v>577</v>
      </c>
      <c r="E12" s="19"/>
      <c r="F12" s="12" t="s">
        <v>619</v>
      </c>
      <c r="G12" s="19" t="s">
        <v>617</v>
      </c>
      <c r="H12" s="12"/>
    </row>
    <row r="13" spans="1:8" ht="15" customHeight="1" x14ac:dyDescent="0.25">
      <c r="A13" s="12" t="s">
        <v>67</v>
      </c>
      <c r="B13" s="12" t="s">
        <v>620</v>
      </c>
      <c r="C13" s="12"/>
      <c r="D13" s="19" t="s">
        <v>577</v>
      </c>
      <c r="E13" s="19"/>
      <c r="F13" s="12" t="s">
        <v>621</v>
      </c>
      <c r="G13" s="19" t="s">
        <v>617</v>
      </c>
      <c r="H13" s="12"/>
    </row>
    <row r="14" spans="1:8" ht="15" customHeight="1" x14ac:dyDescent="0.25">
      <c r="A14" s="12" t="s">
        <v>102</v>
      </c>
      <c r="B14" s="12" t="s">
        <v>622</v>
      </c>
      <c r="C14" s="12"/>
      <c r="D14" s="19" t="s">
        <v>615</v>
      </c>
      <c r="E14" s="19"/>
      <c r="F14" s="12" t="s">
        <v>623</v>
      </c>
      <c r="G14" s="19" t="s">
        <v>617</v>
      </c>
      <c r="H14" s="12"/>
    </row>
    <row r="15" spans="1:8" ht="15" customHeight="1" x14ac:dyDescent="0.25">
      <c r="A15" s="12" t="s">
        <v>102</v>
      </c>
      <c r="B15" s="12" t="s">
        <v>624</v>
      </c>
      <c r="C15" s="12"/>
      <c r="D15" s="19" t="s">
        <v>577</v>
      </c>
      <c r="E15" s="19"/>
      <c r="F15" s="12" t="s">
        <v>625</v>
      </c>
      <c r="G15" s="19" t="s">
        <v>617</v>
      </c>
      <c r="H15" s="12"/>
    </row>
    <row r="16" spans="1:8" ht="23.25" customHeight="1" x14ac:dyDescent="0.25">
      <c r="A16" s="12" t="s">
        <v>107</v>
      </c>
      <c r="B16" s="12" t="s">
        <v>626</v>
      </c>
      <c r="C16" s="12"/>
      <c r="D16" s="19" t="s">
        <v>577</v>
      </c>
      <c r="E16" s="19"/>
      <c r="F16" s="12" t="s">
        <v>627</v>
      </c>
      <c r="G16" s="19" t="s">
        <v>617</v>
      </c>
      <c r="H16" s="12"/>
    </row>
    <row r="17" spans="1:8" ht="15" customHeight="1" x14ac:dyDescent="0.25">
      <c r="A17" s="12" t="s">
        <v>107</v>
      </c>
      <c r="B17" s="12" t="s">
        <v>628</v>
      </c>
      <c r="C17" s="12"/>
      <c r="D17" s="19" t="s">
        <v>577</v>
      </c>
      <c r="E17" s="19"/>
      <c r="F17" s="12" t="s">
        <v>629</v>
      </c>
      <c r="G17" s="19" t="s">
        <v>617</v>
      </c>
      <c r="H17" s="12"/>
    </row>
    <row r="18" spans="1:8" ht="15" customHeight="1" x14ac:dyDescent="0.25">
      <c r="A18" s="12" t="s">
        <v>107</v>
      </c>
      <c r="B18" s="12" t="s">
        <v>630</v>
      </c>
      <c r="C18" s="12"/>
      <c r="D18" s="19" t="s">
        <v>577</v>
      </c>
      <c r="E18" s="19"/>
      <c r="F18" s="12" t="s">
        <v>631</v>
      </c>
      <c r="G18" s="19" t="s">
        <v>617</v>
      </c>
      <c r="H18" s="12"/>
    </row>
    <row r="19" spans="1:8" ht="15" customHeight="1" x14ac:dyDescent="0.25">
      <c r="A19" s="12" t="s">
        <v>107</v>
      </c>
      <c r="B19" s="12" t="s">
        <v>632</v>
      </c>
      <c r="C19" s="12"/>
      <c r="D19" s="19" t="s">
        <v>615</v>
      </c>
      <c r="E19" s="19"/>
      <c r="F19" s="12" t="s">
        <v>633</v>
      </c>
      <c r="G19" s="19" t="s">
        <v>617</v>
      </c>
      <c r="H19" s="12"/>
    </row>
    <row r="20" spans="1:8" ht="15" customHeight="1" x14ac:dyDescent="0.25">
      <c r="A20" s="12" t="s">
        <v>61</v>
      </c>
      <c r="B20" s="12" t="s">
        <v>634</v>
      </c>
      <c r="C20" s="12" t="s">
        <v>635</v>
      </c>
      <c r="D20" s="19" t="s">
        <v>601</v>
      </c>
      <c r="E20" s="19" t="s">
        <v>636</v>
      </c>
      <c r="F20" s="12" t="s">
        <v>637</v>
      </c>
      <c r="G20" s="19" t="s">
        <v>580</v>
      </c>
      <c r="H20" s="12" t="s">
        <v>638</v>
      </c>
    </row>
    <row r="21" spans="1:8" ht="15" customHeight="1" x14ac:dyDescent="0.25">
      <c r="A21" s="12" t="s">
        <v>61</v>
      </c>
      <c r="B21" s="12" t="s">
        <v>639</v>
      </c>
      <c r="C21" s="12" t="s">
        <v>640</v>
      </c>
      <c r="D21" s="19" t="s">
        <v>596</v>
      </c>
      <c r="E21" s="19" t="s">
        <v>636</v>
      </c>
      <c r="F21" s="12" t="s">
        <v>641</v>
      </c>
      <c r="G21" s="19" t="s">
        <v>580</v>
      </c>
      <c r="H21" s="12" t="s">
        <v>642</v>
      </c>
    </row>
    <row r="22" spans="1:8" ht="15" customHeight="1" x14ac:dyDescent="0.25">
      <c r="A22" s="12" t="s">
        <v>61</v>
      </c>
      <c r="B22" s="12" t="s">
        <v>643</v>
      </c>
      <c r="C22" s="12" t="s">
        <v>369</v>
      </c>
      <c r="D22" s="19" t="s">
        <v>583</v>
      </c>
      <c r="E22" s="19" t="s">
        <v>636</v>
      </c>
      <c r="F22" s="12" t="s">
        <v>644</v>
      </c>
      <c r="G22" s="19" t="s">
        <v>580</v>
      </c>
      <c r="H22" s="12" t="s">
        <v>645</v>
      </c>
    </row>
    <row r="23" spans="1:8" ht="15" customHeight="1" x14ac:dyDescent="0.25">
      <c r="A23" s="12" t="s">
        <v>61</v>
      </c>
      <c r="B23" s="12" t="s">
        <v>646</v>
      </c>
      <c r="C23" s="12" t="s">
        <v>647</v>
      </c>
      <c r="D23" s="19" t="s">
        <v>577</v>
      </c>
      <c r="E23" s="19" t="s">
        <v>636</v>
      </c>
      <c r="F23" s="12" t="s">
        <v>648</v>
      </c>
      <c r="G23" s="19" t="s">
        <v>580</v>
      </c>
      <c r="H23" s="12" t="s">
        <v>649</v>
      </c>
    </row>
    <row r="24" spans="1:8" ht="15" customHeight="1" x14ac:dyDescent="0.25">
      <c r="A24" s="12" t="s">
        <v>61</v>
      </c>
      <c r="B24" s="12" t="s">
        <v>650</v>
      </c>
      <c r="C24" s="12" t="s">
        <v>651</v>
      </c>
      <c r="D24" s="19" t="s">
        <v>583</v>
      </c>
      <c r="E24" s="19" t="s">
        <v>636</v>
      </c>
      <c r="F24" s="12" t="s">
        <v>652</v>
      </c>
      <c r="G24" s="19" t="s">
        <v>580</v>
      </c>
      <c r="H24" s="12" t="s">
        <v>653</v>
      </c>
    </row>
    <row r="25" spans="1:8" ht="15" customHeight="1" x14ac:dyDescent="0.25">
      <c r="A25" s="12" t="s">
        <v>61</v>
      </c>
      <c r="B25" s="12" t="s">
        <v>654</v>
      </c>
      <c r="C25" s="12"/>
      <c r="D25" s="19" t="s">
        <v>615</v>
      </c>
      <c r="E25" s="19"/>
      <c r="F25" s="12" t="s">
        <v>655</v>
      </c>
      <c r="G25" s="19" t="s">
        <v>617</v>
      </c>
      <c r="H25" s="12" t="s">
        <v>656</v>
      </c>
    </row>
    <row r="26" spans="1:8" ht="15" customHeight="1" x14ac:dyDescent="0.25">
      <c r="A26" s="12" t="s">
        <v>61</v>
      </c>
      <c r="B26" s="12" t="s">
        <v>657</v>
      </c>
      <c r="C26" s="12"/>
      <c r="D26" s="19" t="s">
        <v>577</v>
      </c>
      <c r="E26" s="19"/>
      <c r="F26" s="12" t="s">
        <v>658</v>
      </c>
      <c r="G26" s="19" t="s">
        <v>617</v>
      </c>
      <c r="H26" s="12"/>
    </row>
    <row r="27" spans="1:8" ht="15" customHeight="1" x14ac:dyDescent="0.25">
      <c r="A27" s="12" t="s">
        <v>72</v>
      </c>
      <c r="B27" s="12" t="s">
        <v>659</v>
      </c>
      <c r="C27" s="12" t="s">
        <v>660</v>
      </c>
      <c r="D27" s="19" t="s">
        <v>601</v>
      </c>
      <c r="E27" s="19" t="s">
        <v>636</v>
      </c>
      <c r="F27" s="12" t="s">
        <v>661</v>
      </c>
      <c r="G27" s="19" t="s">
        <v>580</v>
      </c>
      <c r="H27" s="12" t="s">
        <v>662</v>
      </c>
    </row>
    <row r="28" spans="1:8" ht="15" customHeight="1" x14ac:dyDescent="0.25">
      <c r="A28" s="12" t="s">
        <v>72</v>
      </c>
      <c r="B28" s="12" t="s">
        <v>663</v>
      </c>
      <c r="C28" s="12" t="s">
        <v>664</v>
      </c>
      <c r="D28" s="19" t="s">
        <v>601</v>
      </c>
      <c r="E28" s="19" t="s">
        <v>636</v>
      </c>
      <c r="F28" s="12" t="s">
        <v>665</v>
      </c>
      <c r="G28" s="19" t="s">
        <v>580</v>
      </c>
      <c r="H28" s="12" t="s">
        <v>666</v>
      </c>
    </row>
    <row r="29" spans="1:8" ht="15" customHeight="1" x14ac:dyDescent="0.25">
      <c r="A29" s="12" t="s">
        <v>72</v>
      </c>
      <c r="B29" s="12" t="s">
        <v>667</v>
      </c>
      <c r="C29" s="12" t="s">
        <v>386</v>
      </c>
      <c r="D29" s="19" t="s">
        <v>583</v>
      </c>
      <c r="E29" s="19" t="s">
        <v>636</v>
      </c>
      <c r="F29" s="12" t="s">
        <v>668</v>
      </c>
      <c r="G29" s="19" t="s">
        <v>580</v>
      </c>
      <c r="H29" s="12" t="s">
        <v>669</v>
      </c>
    </row>
    <row r="30" spans="1:8" ht="15" customHeight="1" x14ac:dyDescent="0.25">
      <c r="A30" s="12" t="s">
        <v>72</v>
      </c>
      <c r="B30" s="12" t="s">
        <v>670</v>
      </c>
      <c r="C30" s="12" t="s">
        <v>671</v>
      </c>
      <c r="D30" s="19" t="s">
        <v>601</v>
      </c>
      <c r="E30" s="19" t="s">
        <v>636</v>
      </c>
      <c r="F30" s="12" t="s">
        <v>672</v>
      </c>
      <c r="G30" s="19" t="s">
        <v>580</v>
      </c>
      <c r="H30" s="12" t="s">
        <v>638</v>
      </c>
    </row>
    <row r="31" spans="1:8" ht="15" customHeight="1" x14ac:dyDescent="0.25">
      <c r="A31" s="12" t="s">
        <v>72</v>
      </c>
      <c r="B31" s="12" t="s">
        <v>673</v>
      </c>
      <c r="C31" s="12" t="s">
        <v>674</v>
      </c>
      <c r="D31" s="19" t="s">
        <v>596</v>
      </c>
      <c r="E31" s="19" t="s">
        <v>636</v>
      </c>
      <c r="F31" s="12" t="s">
        <v>675</v>
      </c>
      <c r="G31" s="19" t="s">
        <v>580</v>
      </c>
      <c r="H31" s="12" t="s">
        <v>676</v>
      </c>
    </row>
    <row r="32" spans="1:8" ht="15" customHeight="1" x14ac:dyDescent="0.25">
      <c r="A32" s="12" t="s">
        <v>72</v>
      </c>
      <c r="B32" s="12" t="s">
        <v>677</v>
      </c>
      <c r="C32" s="12"/>
      <c r="D32" s="19" t="s">
        <v>615</v>
      </c>
      <c r="E32" s="19"/>
      <c r="F32" s="12" t="s">
        <v>678</v>
      </c>
      <c r="G32" s="19" t="s">
        <v>617</v>
      </c>
      <c r="H32" s="12" t="s">
        <v>679</v>
      </c>
    </row>
    <row r="33" spans="1:8" ht="15" customHeight="1" x14ac:dyDescent="0.25">
      <c r="A33" s="12" t="s">
        <v>72</v>
      </c>
      <c r="B33" s="12" t="s">
        <v>680</v>
      </c>
      <c r="C33" s="12"/>
      <c r="D33" s="19" t="s">
        <v>577</v>
      </c>
      <c r="E33" s="19"/>
      <c r="F33" s="12" t="s">
        <v>681</v>
      </c>
      <c r="G33" s="19" t="s">
        <v>617</v>
      </c>
      <c r="H33" s="12"/>
    </row>
    <row r="34" spans="1:8" ht="15" customHeight="1" x14ac:dyDescent="0.25">
      <c r="A34" s="12" t="s">
        <v>72</v>
      </c>
      <c r="B34" s="12" t="s">
        <v>682</v>
      </c>
      <c r="C34" s="12"/>
      <c r="D34" s="19" t="s">
        <v>583</v>
      </c>
      <c r="E34" s="19"/>
      <c r="F34" s="12" t="s">
        <v>683</v>
      </c>
      <c r="G34" s="19" t="s">
        <v>617</v>
      </c>
      <c r="H34" s="12"/>
    </row>
    <row r="35" spans="1:8" ht="15" customHeight="1" x14ac:dyDescent="0.25">
      <c r="A35" s="12" t="s">
        <v>92</v>
      </c>
      <c r="B35" s="12" t="s">
        <v>684</v>
      </c>
      <c r="C35" s="12" t="s">
        <v>685</v>
      </c>
      <c r="D35" s="19" t="s">
        <v>601</v>
      </c>
      <c r="E35" s="19" t="s">
        <v>636</v>
      </c>
      <c r="F35" s="12" t="s">
        <v>686</v>
      </c>
      <c r="G35" s="19" t="s">
        <v>580</v>
      </c>
      <c r="H35" s="12" t="s">
        <v>687</v>
      </c>
    </row>
    <row r="36" spans="1:8" ht="15" customHeight="1" x14ac:dyDescent="0.25">
      <c r="A36" s="12" t="s">
        <v>92</v>
      </c>
      <c r="B36" s="12" t="s">
        <v>688</v>
      </c>
      <c r="C36" s="12" t="s">
        <v>689</v>
      </c>
      <c r="D36" s="19" t="s">
        <v>596</v>
      </c>
      <c r="E36" s="19" t="s">
        <v>636</v>
      </c>
      <c r="F36" s="12" t="s">
        <v>690</v>
      </c>
      <c r="G36" s="19" t="s">
        <v>580</v>
      </c>
      <c r="H36" s="12" t="s">
        <v>691</v>
      </c>
    </row>
    <row r="37" spans="1:8" ht="15" customHeight="1" x14ac:dyDescent="0.25">
      <c r="A37" s="12" t="s">
        <v>92</v>
      </c>
      <c r="B37" s="12" t="s">
        <v>692</v>
      </c>
      <c r="C37" s="12" t="s">
        <v>693</v>
      </c>
      <c r="D37" s="19" t="s">
        <v>601</v>
      </c>
      <c r="E37" s="19" t="s">
        <v>636</v>
      </c>
      <c r="F37" s="12" t="s">
        <v>694</v>
      </c>
      <c r="G37" s="19" t="s">
        <v>580</v>
      </c>
      <c r="H37" s="12" t="s">
        <v>695</v>
      </c>
    </row>
    <row r="38" spans="1:8" ht="15" customHeight="1" x14ac:dyDescent="0.25">
      <c r="A38" s="12" t="s">
        <v>92</v>
      </c>
      <c r="B38" s="12" t="s">
        <v>696</v>
      </c>
      <c r="C38" s="12" t="s">
        <v>697</v>
      </c>
      <c r="D38" s="19" t="s">
        <v>601</v>
      </c>
      <c r="E38" s="19" t="s">
        <v>636</v>
      </c>
      <c r="F38" s="12" t="s">
        <v>698</v>
      </c>
      <c r="G38" s="19" t="s">
        <v>580</v>
      </c>
      <c r="H38" s="12" t="s">
        <v>699</v>
      </c>
    </row>
    <row r="39" spans="1:8" ht="15" customHeight="1" x14ac:dyDescent="0.25">
      <c r="A39" s="12" t="s">
        <v>92</v>
      </c>
      <c r="B39" s="12" t="s">
        <v>700</v>
      </c>
      <c r="C39" s="12" t="s">
        <v>701</v>
      </c>
      <c r="D39" s="19" t="s">
        <v>601</v>
      </c>
      <c r="E39" s="19" t="s">
        <v>636</v>
      </c>
      <c r="F39" s="12" t="s">
        <v>702</v>
      </c>
      <c r="G39" s="19" t="s">
        <v>580</v>
      </c>
      <c r="H39" s="12" t="s">
        <v>638</v>
      </c>
    </row>
    <row r="40" spans="1:8" ht="15" customHeight="1" x14ac:dyDescent="0.25">
      <c r="A40" s="12" t="s">
        <v>92</v>
      </c>
      <c r="B40" s="12" t="s">
        <v>703</v>
      </c>
      <c r="C40" s="12" t="s">
        <v>704</v>
      </c>
      <c r="D40" s="19" t="s">
        <v>583</v>
      </c>
      <c r="E40" s="19" t="s">
        <v>636</v>
      </c>
      <c r="F40" s="12" t="s">
        <v>705</v>
      </c>
      <c r="G40" s="19" t="s">
        <v>580</v>
      </c>
      <c r="H40" s="12" t="s">
        <v>706</v>
      </c>
    </row>
    <row r="41" spans="1:8" ht="15" customHeight="1" x14ac:dyDescent="0.25">
      <c r="A41" s="12" t="s">
        <v>92</v>
      </c>
      <c r="B41" s="12" t="s">
        <v>707</v>
      </c>
      <c r="C41" s="12" t="s">
        <v>708</v>
      </c>
      <c r="D41" s="19" t="s">
        <v>596</v>
      </c>
      <c r="E41" s="19" t="s">
        <v>636</v>
      </c>
      <c r="F41" s="12" t="s">
        <v>709</v>
      </c>
      <c r="G41" s="19" t="s">
        <v>580</v>
      </c>
      <c r="H41" s="12" t="s">
        <v>710</v>
      </c>
    </row>
    <row r="42" spans="1:8" ht="15" customHeight="1" x14ac:dyDescent="0.25">
      <c r="A42" s="12" t="s">
        <v>92</v>
      </c>
      <c r="B42" s="12" t="s">
        <v>711</v>
      </c>
      <c r="C42" s="12"/>
      <c r="D42" s="19" t="s">
        <v>615</v>
      </c>
      <c r="E42" s="19"/>
      <c r="F42" s="12" t="s">
        <v>712</v>
      </c>
      <c r="G42" s="19" t="s">
        <v>617</v>
      </c>
      <c r="H42" s="12" t="s">
        <v>713</v>
      </c>
    </row>
    <row r="43" spans="1:8" ht="15" customHeight="1" x14ac:dyDescent="0.25">
      <c r="A43" s="12" t="s">
        <v>92</v>
      </c>
      <c r="B43" s="12" t="s">
        <v>714</v>
      </c>
      <c r="C43" s="12"/>
      <c r="D43" s="19" t="s">
        <v>577</v>
      </c>
      <c r="E43" s="19"/>
      <c r="F43" s="12" t="s">
        <v>715</v>
      </c>
      <c r="G43" s="19" t="s">
        <v>617</v>
      </c>
      <c r="H43" s="12" t="s">
        <v>716</v>
      </c>
    </row>
    <row r="44" spans="1:8" ht="15" customHeight="1" x14ac:dyDescent="0.25">
      <c r="A44" s="12" t="s">
        <v>102</v>
      </c>
      <c r="B44" s="12" t="s">
        <v>717</v>
      </c>
      <c r="C44" s="12" t="s">
        <v>718</v>
      </c>
      <c r="D44" s="19" t="s">
        <v>583</v>
      </c>
      <c r="E44" s="19" t="s">
        <v>636</v>
      </c>
      <c r="F44" s="12" t="s">
        <v>719</v>
      </c>
      <c r="G44" s="19" t="s">
        <v>580</v>
      </c>
      <c r="H44" s="12" t="s">
        <v>720</v>
      </c>
    </row>
    <row r="45" spans="1:8" ht="15" customHeight="1" x14ac:dyDescent="0.25">
      <c r="A45" s="12" t="s">
        <v>102</v>
      </c>
      <c r="B45" s="12" t="s">
        <v>721</v>
      </c>
      <c r="C45" s="12" t="s">
        <v>722</v>
      </c>
      <c r="D45" s="19" t="s">
        <v>601</v>
      </c>
      <c r="E45" s="19" t="s">
        <v>636</v>
      </c>
      <c r="F45" s="12" t="s">
        <v>723</v>
      </c>
      <c r="G45" s="19" t="s">
        <v>580</v>
      </c>
      <c r="H45" s="12" t="s">
        <v>724</v>
      </c>
    </row>
    <row r="46" spans="1:8" ht="15" customHeight="1" x14ac:dyDescent="0.25">
      <c r="A46" s="12" t="s">
        <v>102</v>
      </c>
      <c r="B46" s="12" t="s">
        <v>725</v>
      </c>
      <c r="C46" s="12" t="s">
        <v>726</v>
      </c>
      <c r="D46" s="19" t="s">
        <v>583</v>
      </c>
      <c r="E46" s="19" t="s">
        <v>636</v>
      </c>
      <c r="F46" s="12" t="s">
        <v>727</v>
      </c>
      <c r="G46" s="19" t="s">
        <v>580</v>
      </c>
      <c r="H46" s="12" t="s">
        <v>728</v>
      </c>
    </row>
    <row r="47" spans="1:8" ht="15" customHeight="1" x14ac:dyDescent="0.25">
      <c r="A47" s="12" t="s">
        <v>102</v>
      </c>
      <c r="B47" s="12" t="s">
        <v>729</v>
      </c>
      <c r="C47" s="12" t="s">
        <v>730</v>
      </c>
      <c r="D47" s="19" t="s">
        <v>596</v>
      </c>
      <c r="E47" s="19" t="s">
        <v>636</v>
      </c>
      <c r="F47" s="12" t="s">
        <v>731</v>
      </c>
      <c r="G47" s="19" t="s">
        <v>580</v>
      </c>
      <c r="H47" s="12" t="s">
        <v>732</v>
      </c>
    </row>
    <row r="48" spans="1:8" ht="15" customHeight="1" x14ac:dyDescent="0.25">
      <c r="A48" s="12" t="s">
        <v>102</v>
      </c>
      <c r="B48" s="12" t="s">
        <v>733</v>
      </c>
      <c r="C48" s="12" t="s">
        <v>734</v>
      </c>
      <c r="D48" s="19" t="s">
        <v>601</v>
      </c>
      <c r="E48" s="19" t="s">
        <v>636</v>
      </c>
      <c r="F48" s="12" t="s">
        <v>735</v>
      </c>
      <c r="G48" s="19" t="s">
        <v>580</v>
      </c>
      <c r="H48" s="12" t="s">
        <v>638</v>
      </c>
    </row>
    <row r="49" spans="1:8" ht="15" customHeight="1" x14ac:dyDescent="0.25">
      <c r="A49" s="12" t="s">
        <v>107</v>
      </c>
      <c r="B49" s="12" t="s">
        <v>736</v>
      </c>
      <c r="C49" s="12" t="s">
        <v>737</v>
      </c>
      <c r="D49" s="19" t="s">
        <v>583</v>
      </c>
      <c r="E49" s="19" t="s">
        <v>636</v>
      </c>
      <c r="F49" s="12" t="s">
        <v>738</v>
      </c>
      <c r="G49" s="19" t="s">
        <v>580</v>
      </c>
      <c r="H49" s="12" t="s">
        <v>739</v>
      </c>
    </row>
    <row r="50" spans="1:8" ht="15" customHeight="1" x14ac:dyDescent="0.25">
      <c r="A50" s="12" t="s">
        <v>107</v>
      </c>
      <c r="B50" s="12" t="s">
        <v>740</v>
      </c>
      <c r="C50" s="12" t="s">
        <v>741</v>
      </c>
      <c r="D50" s="19" t="s">
        <v>601</v>
      </c>
      <c r="E50" s="19" t="s">
        <v>636</v>
      </c>
      <c r="F50" s="12" t="s">
        <v>742</v>
      </c>
      <c r="G50" s="19" t="s">
        <v>580</v>
      </c>
      <c r="H50" s="12" t="s">
        <v>743</v>
      </c>
    </row>
    <row r="51" spans="1:8" ht="15" customHeight="1" x14ac:dyDescent="0.25">
      <c r="A51" s="12" t="s">
        <v>107</v>
      </c>
      <c r="B51" s="12" t="s">
        <v>744</v>
      </c>
      <c r="C51" s="12" t="s">
        <v>745</v>
      </c>
      <c r="D51" s="19" t="s">
        <v>596</v>
      </c>
      <c r="E51" s="19" t="s">
        <v>636</v>
      </c>
      <c r="F51" s="12" t="s">
        <v>746</v>
      </c>
      <c r="G51" s="19" t="s">
        <v>580</v>
      </c>
      <c r="H51" s="12" t="s">
        <v>747</v>
      </c>
    </row>
    <row r="52" spans="1:8" ht="15" customHeight="1" x14ac:dyDescent="0.25">
      <c r="A52" s="12" t="s">
        <v>107</v>
      </c>
      <c r="B52" s="12" t="s">
        <v>748</v>
      </c>
      <c r="C52" s="12" t="s">
        <v>749</v>
      </c>
      <c r="D52" s="19" t="s">
        <v>577</v>
      </c>
      <c r="E52" s="19" t="s">
        <v>636</v>
      </c>
      <c r="F52" s="12" t="s">
        <v>750</v>
      </c>
      <c r="G52" s="19" t="s">
        <v>580</v>
      </c>
      <c r="H52" s="12" t="s">
        <v>751</v>
      </c>
    </row>
    <row r="53" spans="1:8" ht="15" customHeight="1" x14ac:dyDescent="0.25">
      <c r="A53" s="12" t="s">
        <v>107</v>
      </c>
      <c r="B53" s="12" t="s">
        <v>752</v>
      </c>
      <c r="C53" s="12"/>
      <c r="D53" s="19" t="s">
        <v>577</v>
      </c>
      <c r="E53" s="19"/>
      <c r="F53" s="12" t="s">
        <v>753</v>
      </c>
      <c r="G53" s="19" t="s">
        <v>617</v>
      </c>
      <c r="H53" s="12" t="s">
        <v>754</v>
      </c>
    </row>
    <row r="54" spans="1:8" ht="15" customHeight="1" x14ac:dyDescent="0.25">
      <c r="A54" s="12" t="s">
        <v>82</v>
      </c>
      <c r="B54" s="12" t="s">
        <v>755</v>
      </c>
      <c r="C54" s="12" t="s">
        <v>756</v>
      </c>
      <c r="D54" s="19" t="s">
        <v>596</v>
      </c>
      <c r="E54" s="19" t="s">
        <v>636</v>
      </c>
      <c r="F54" s="12" t="s">
        <v>757</v>
      </c>
      <c r="G54" s="19" t="s">
        <v>580</v>
      </c>
      <c r="H54" s="12" t="s">
        <v>758</v>
      </c>
    </row>
    <row r="55" spans="1:8" ht="15" customHeight="1" x14ac:dyDescent="0.25">
      <c r="A55" s="12" t="s">
        <v>82</v>
      </c>
      <c r="B55" s="12" t="s">
        <v>759</v>
      </c>
      <c r="C55" s="12" t="s">
        <v>760</v>
      </c>
      <c r="D55" s="19" t="s">
        <v>596</v>
      </c>
      <c r="E55" s="19" t="s">
        <v>636</v>
      </c>
      <c r="F55" s="12" t="s">
        <v>761</v>
      </c>
      <c r="G55" s="19" t="s">
        <v>580</v>
      </c>
      <c r="H55" s="12" t="s">
        <v>762</v>
      </c>
    </row>
    <row r="56" spans="1:8" ht="15" customHeight="1" x14ac:dyDescent="0.25">
      <c r="A56" s="12" t="s">
        <v>82</v>
      </c>
      <c r="B56" s="12" t="s">
        <v>763</v>
      </c>
      <c r="C56" s="12" t="s">
        <v>764</v>
      </c>
      <c r="D56" s="19" t="s">
        <v>583</v>
      </c>
      <c r="E56" s="19" t="s">
        <v>636</v>
      </c>
      <c r="F56" s="12" t="s">
        <v>765</v>
      </c>
      <c r="G56" s="19" t="s">
        <v>580</v>
      </c>
      <c r="H56" s="12" t="s">
        <v>766</v>
      </c>
    </row>
    <row r="57" spans="1:8" ht="15" customHeight="1" x14ac:dyDescent="0.25">
      <c r="A57" s="12" t="s">
        <v>82</v>
      </c>
      <c r="B57" s="12" t="s">
        <v>767</v>
      </c>
      <c r="C57" s="12" t="s">
        <v>768</v>
      </c>
      <c r="D57" s="19" t="s">
        <v>596</v>
      </c>
      <c r="E57" s="19" t="s">
        <v>636</v>
      </c>
      <c r="F57" s="12" t="s">
        <v>769</v>
      </c>
      <c r="G57" s="19" t="s">
        <v>580</v>
      </c>
      <c r="H57" s="12" t="s">
        <v>770</v>
      </c>
    </row>
    <row r="58" spans="1:8" ht="15" customHeight="1" x14ac:dyDescent="0.25">
      <c r="A58" s="12" t="s">
        <v>82</v>
      </c>
      <c r="B58" s="12" t="s">
        <v>771</v>
      </c>
      <c r="C58" s="12"/>
      <c r="D58" s="19" t="s">
        <v>601</v>
      </c>
      <c r="E58" s="19"/>
      <c r="F58" s="12" t="s">
        <v>772</v>
      </c>
      <c r="G58" s="19" t="s">
        <v>617</v>
      </c>
      <c r="H58" s="12" t="s">
        <v>773</v>
      </c>
    </row>
    <row r="59" spans="1:8" ht="15" customHeight="1" x14ac:dyDescent="0.25">
      <c r="A59" s="12" t="s">
        <v>82</v>
      </c>
      <c r="B59" s="12" t="s">
        <v>774</v>
      </c>
      <c r="C59" s="12"/>
      <c r="D59" s="19" t="s">
        <v>615</v>
      </c>
      <c r="E59" s="19"/>
      <c r="F59" s="12" t="s">
        <v>775</v>
      </c>
      <c r="G59" s="19" t="s">
        <v>617</v>
      </c>
      <c r="H59" s="12" t="s">
        <v>656</v>
      </c>
    </row>
    <row r="60" spans="1:8" ht="15" customHeight="1" x14ac:dyDescent="0.25">
      <c r="A60" s="12" t="s">
        <v>118</v>
      </c>
      <c r="B60" s="12" t="s">
        <v>776</v>
      </c>
      <c r="C60" s="12" t="s">
        <v>777</v>
      </c>
      <c r="D60" s="19" t="s">
        <v>596</v>
      </c>
      <c r="E60" s="19" t="s">
        <v>636</v>
      </c>
      <c r="F60" s="12" t="s">
        <v>778</v>
      </c>
      <c r="G60" s="19" t="s">
        <v>580</v>
      </c>
      <c r="H60" s="12" t="s">
        <v>779</v>
      </c>
    </row>
    <row r="61" spans="1:8" ht="15" customHeight="1" x14ac:dyDescent="0.25">
      <c r="A61" s="12" t="s">
        <v>118</v>
      </c>
      <c r="B61" s="12" t="s">
        <v>780</v>
      </c>
      <c r="C61" s="12" t="s">
        <v>781</v>
      </c>
      <c r="D61" s="19" t="s">
        <v>577</v>
      </c>
      <c r="E61" s="19" t="s">
        <v>636</v>
      </c>
      <c r="F61" s="12" t="s">
        <v>782</v>
      </c>
      <c r="G61" s="19" t="s">
        <v>580</v>
      </c>
      <c r="H61" s="12" t="s">
        <v>783</v>
      </c>
    </row>
    <row r="62" spans="1:8" ht="15" customHeight="1" x14ac:dyDescent="0.25">
      <c r="A62" s="12" t="s">
        <v>118</v>
      </c>
      <c r="B62" s="12" t="s">
        <v>784</v>
      </c>
      <c r="C62" s="12" t="s">
        <v>785</v>
      </c>
      <c r="D62" s="19" t="s">
        <v>577</v>
      </c>
      <c r="E62" s="19" t="s">
        <v>636</v>
      </c>
      <c r="F62" s="12" t="s">
        <v>786</v>
      </c>
      <c r="G62" s="19" t="s">
        <v>580</v>
      </c>
      <c r="H62" s="12" t="s">
        <v>787</v>
      </c>
    </row>
    <row r="63" spans="1:8" ht="15" customHeight="1" x14ac:dyDescent="0.25">
      <c r="A63" s="12" t="s">
        <v>118</v>
      </c>
      <c r="B63" s="12" t="s">
        <v>788</v>
      </c>
      <c r="C63" s="12" t="s">
        <v>789</v>
      </c>
      <c r="D63" s="19" t="s">
        <v>577</v>
      </c>
      <c r="E63" s="19" t="s">
        <v>636</v>
      </c>
      <c r="F63" s="12" t="s">
        <v>790</v>
      </c>
      <c r="G63" s="19" t="s">
        <v>580</v>
      </c>
      <c r="H63" s="12" t="s">
        <v>791</v>
      </c>
    </row>
    <row r="64" spans="1:8" ht="15" customHeight="1" x14ac:dyDescent="0.25">
      <c r="A64" s="12" t="s">
        <v>118</v>
      </c>
      <c r="B64" s="12" t="s">
        <v>792</v>
      </c>
      <c r="C64" s="12"/>
      <c r="D64" s="19" t="s">
        <v>577</v>
      </c>
      <c r="E64" s="19"/>
      <c r="F64" s="12" t="s">
        <v>793</v>
      </c>
      <c r="G64" s="19" t="s">
        <v>617</v>
      </c>
      <c r="H64" s="12" t="s">
        <v>794</v>
      </c>
    </row>
    <row r="65" spans="1:8" ht="15" customHeight="1" x14ac:dyDescent="0.25">
      <c r="A65" s="12" t="s">
        <v>118</v>
      </c>
      <c r="B65" s="12" t="s">
        <v>795</v>
      </c>
      <c r="C65" s="12" t="s">
        <v>420</v>
      </c>
      <c r="D65" s="19" t="s">
        <v>583</v>
      </c>
      <c r="E65" s="19" t="s">
        <v>796</v>
      </c>
      <c r="F65" s="12" t="s">
        <v>797</v>
      </c>
      <c r="G65" s="19" t="s">
        <v>580</v>
      </c>
      <c r="H65" s="12" t="s">
        <v>798</v>
      </c>
    </row>
    <row r="66" spans="1:8" ht="15" customHeight="1" x14ac:dyDescent="0.25">
      <c r="A66" s="12" t="s">
        <v>77</v>
      </c>
      <c r="B66" s="12" t="s">
        <v>799</v>
      </c>
      <c r="C66" s="12" t="s">
        <v>800</v>
      </c>
      <c r="D66" s="19" t="s">
        <v>601</v>
      </c>
      <c r="E66" s="19" t="s">
        <v>636</v>
      </c>
      <c r="F66" s="12" t="s">
        <v>801</v>
      </c>
      <c r="G66" s="19" t="s">
        <v>580</v>
      </c>
      <c r="H66" s="12" t="s">
        <v>638</v>
      </c>
    </row>
    <row r="67" spans="1:8" ht="15" customHeight="1" x14ac:dyDescent="0.25">
      <c r="A67" s="12" t="s">
        <v>77</v>
      </c>
      <c r="B67" s="12" t="s">
        <v>802</v>
      </c>
      <c r="C67" s="12" t="s">
        <v>803</v>
      </c>
      <c r="D67" s="19" t="s">
        <v>596</v>
      </c>
      <c r="E67" s="19" t="s">
        <v>636</v>
      </c>
      <c r="F67" s="12" t="s">
        <v>804</v>
      </c>
      <c r="G67" s="19" t="s">
        <v>580</v>
      </c>
      <c r="H67" s="12" t="s">
        <v>805</v>
      </c>
    </row>
    <row r="68" spans="1:8" ht="15" customHeight="1" x14ac:dyDescent="0.25">
      <c r="A68" s="12" t="s">
        <v>77</v>
      </c>
      <c r="B68" s="12" t="s">
        <v>806</v>
      </c>
      <c r="C68" s="12" t="s">
        <v>807</v>
      </c>
      <c r="D68" s="19" t="s">
        <v>596</v>
      </c>
      <c r="E68" s="19" t="s">
        <v>636</v>
      </c>
      <c r="F68" s="12" t="s">
        <v>808</v>
      </c>
      <c r="G68" s="19" t="s">
        <v>580</v>
      </c>
      <c r="H68" s="12" t="s">
        <v>809</v>
      </c>
    </row>
    <row r="69" spans="1:8" ht="15" customHeight="1" x14ac:dyDescent="0.25">
      <c r="A69" s="12" t="s">
        <v>77</v>
      </c>
      <c r="B69" s="12" t="s">
        <v>810</v>
      </c>
      <c r="C69" s="12" t="s">
        <v>811</v>
      </c>
      <c r="D69" s="19" t="s">
        <v>577</v>
      </c>
      <c r="E69" s="19" t="s">
        <v>636</v>
      </c>
      <c r="F69" s="12" t="s">
        <v>812</v>
      </c>
      <c r="G69" s="19" t="s">
        <v>580</v>
      </c>
      <c r="H69" s="12" t="s">
        <v>813</v>
      </c>
    </row>
    <row r="70" spans="1:8" ht="15" customHeight="1" x14ac:dyDescent="0.25">
      <c r="A70" s="12" t="s">
        <v>77</v>
      </c>
      <c r="B70" s="12" t="s">
        <v>814</v>
      </c>
      <c r="C70" s="12" t="s">
        <v>815</v>
      </c>
      <c r="D70" s="19" t="s">
        <v>601</v>
      </c>
      <c r="E70" s="19" t="s">
        <v>636</v>
      </c>
      <c r="F70" s="12" t="s">
        <v>816</v>
      </c>
      <c r="G70" s="19" t="s">
        <v>580</v>
      </c>
      <c r="H70" s="12" t="s">
        <v>817</v>
      </c>
    </row>
    <row r="71" spans="1:8" ht="15" customHeight="1" x14ac:dyDescent="0.25">
      <c r="A71" s="12" t="s">
        <v>77</v>
      </c>
      <c r="B71" s="12" t="s">
        <v>818</v>
      </c>
      <c r="C71" s="12"/>
      <c r="D71" s="19" t="s">
        <v>615</v>
      </c>
      <c r="E71" s="19"/>
      <c r="F71" s="12" t="s">
        <v>819</v>
      </c>
      <c r="G71" s="19" t="s">
        <v>617</v>
      </c>
      <c r="H71" s="12" t="s">
        <v>656</v>
      </c>
    </row>
    <row r="72" spans="1:8" ht="15" customHeight="1" x14ac:dyDescent="0.25">
      <c r="A72" s="12" t="s">
        <v>97</v>
      </c>
      <c r="B72" s="12" t="s">
        <v>820</v>
      </c>
      <c r="C72" s="12" t="s">
        <v>821</v>
      </c>
      <c r="D72" s="19" t="s">
        <v>601</v>
      </c>
      <c r="E72" s="19" t="s">
        <v>636</v>
      </c>
      <c r="F72" s="12" t="s">
        <v>822</v>
      </c>
      <c r="G72" s="19" t="s">
        <v>580</v>
      </c>
      <c r="H72" s="12" t="s">
        <v>638</v>
      </c>
    </row>
    <row r="73" spans="1:8" ht="15" customHeight="1" x14ac:dyDescent="0.25">
      <c r="A73" s="12" t="s">
        <v>97</v>
      </c>
      <c r="B73" s="12" t="s">
        <v>823</v>
      </c>
      <c r="C73" s="12" t="s">
        <v>824</v>
      </c>
      <c r="D73" s="19" t="s">
        <v>601</v>
      </c>
      <c r="E73" s="19" t="s">
        <v>636</v>
      </c>
      <c r="F73" s="12" t="s">
        <v>825</v>
      </c>
      <c r="G73" s="19" t="s">
        <v>580</v>
      </c>
      <c r="H73" s="12" t="s">
        <v>826</v>
      </c>
    </row>
    <row r="74" spans="1:8" ht="15" customHeight="1" x14ac:dyDescent="0.25">
      <c r="A74" s="12" t="s">
        <v>97</v>
      </c>
      <c r="B74" s="12" t="s">
        <v>827</v>
      </c>
      <c r="C74" s="12" t="s">
        <v>828</v>
      </c>
      <c r="D74" s="19" t="s">
        <v>601</v>
      </c>
      <c r="E74" s="19" t="s">
        <v>636</v>
      </c>
      <c r="F74" s="12" t="s">
        <v>829</v>
      </c>
      <c r="G74" s="19" t="s">
        <v>580</v>
      </c>
      <c r="H74" s="12" t="s">
        <v>830</v>
      </c>
    </row>
    <row r="75" spans="1:8" ht="15" customHeight="1" x14ac:dyDescent="0.25">
      <c r="A75" s="12" t="s">
        <v>97</v>
      </c>
      <c r="B75" s="12" t="s">
        <v>831</v>
      </c>
      <c r="C75" s="12" t="s">
        <v>832</v>
      </c>
      <c r="D75" s="19" t="s">
        <v>601</v>
      </c>
      <c r="E75" s="19" t="s">
        <v>636</v>
      </c>
      <c r="F75" s="12" t="s">
        <v>833</v>
      </c>
      <c r="G75" s="19" t="s">
        <v>580</v>
      </c>
      <c r="H75" s="12" t="s">
        <v>834</v>
      </c>
    </row>
    <row r="76" spans="1:8" ht="15" customHeight="1" x14ac:dyDescent="0.25">
      <c r="A76" s="12" t="s">
        <v>97</v>
      </c>
      <c r="B76" s="12" t="s">
        <v>835</v>
      </c>
      <c r="C76" s="12"/>
      <c r="D76" s="19" t="s">
        <v>577</v>
      </c>
      <c r="E76" s="19"/>
      <c r="F76" s="12" t="s">
        <v>836</v>
      </c>
      <c r="G76" s="19" t="s">
        <v>617</v>
      </c>
      <c r="H76" s="12" t="s">
        <v>837</v>
      </c>
    </row>
    <row r="77" spans="1:8" ht="15" customHeight="1" x14ac:dyDescent="0.25">
      <c r="A77" s="12" t="s">
        <v>97</v>
      </c>
      <c r="B77" s="12" t="s">
        <v>838</v>
      </c>
      <c r="C77" s="12"/>
      <c r="D77" s="19" t="s">
        <v>615</v>
      </c>
      <c r="E77" s="19"/>
      <c r="F77" s="12" t="s">
        <v>839</v>
      </c>
      <c r="G77" s="19" t="s">
        <v>617</v>
      </c>
      <c r="H77" s="12" t="s">
        <v>656</v>
      </c>
    </row>
    <row r="78" spans="1:8" ht="15" customHeight="1" x14ac:dyDescent="0.25">
      <c r="A78" s="12" t="s">
        <v>113</v>
      </c>
      <c r="B78" s="12" t="s">
        <v>840</v>
      </c>
      <c r="C78" s="12" t="s">
        <v>841</v>
      </c>
      <c r="D78" s="19" t="s">
        <v>601</v>
      </c>
      <c r="E78" s="19" t="s">
        <v>636</v>
      </c>
      <c r="F78" s="12" t="s">
        <v>842</v>
      </c>
      <c r="G78" s="19" t="s">
        <v>580</v>
      </c>
      <c r="H78" s="12" t="s">
        <v>638</v>
      </c>
    </row>
    <row r="79" spans="1:8" ht="15" customHeight="1" x14ac:dyDescent="0.25">
      <c r="A79" s="12" t="s">
        <v>113</v>
      </c>
      <c r="B79" s="12" t="s">
        <v>843</v>
      </c>
      <c r="C79" s="12" t="s">
        <v>844</v>
      </c>
      <c r="D79" s="19" t="s">
        <v>601</v>
      </c>
      <c r="E79" s="19" t="s">
        <v>636</v>
      </c>
      <c r="F79" s="12" t="s">
        <v>845</v>
      </c>
      <c r="G79" s="19" t="s">
        <v>580</v>
      </c>
      <c r="H79" s="12" t="s">
        <v>846</v>
      </c>
    </row>
    <row r="80" spans="1:8" ht="15" customHeight="1" x14ac:dyDescent="0.25">
      <c r="A80" s="12" t="s">
        <v>113</v>
      </c>
      <c r="B80" s="12" t="s">
        <v>847</v>
      </c>
      <c r="C80" s="12" t="s">
        <v>848</v>
      </c>
      <c r="D80" s="19" t="s">
        <v>601</v>
      </c>
      <c r="E80" s="19" t="s">
        <v>636</v>
      </c>
      <c r="F80" s="12" t="s">
        <v>849</v>
      </c>
      <c r="G80" s="19" t="s">
        <v>580</v>
      </c>
      <c r="H80" s="12" t="s">
        <v>850</v>
      </c>
    </row>
    <row r="81" spans="1:8" ht="15" customHeight="1" x14ac:dyDescent="0.25">
      <c r="A81" s="12" t="s">
        <v>113</v>
      </c>
      <c r="B81" s="12" t="s">
        <v>851</v>
      </c>
      <c r="C81" s="12" t="s">
        <v>852</v>
      </c>
      <c r="D81" s="19" t="s">
        <v>601</v>
      </c>
      <c r="E81" s="19" t="s">
        <v>636</v>
      </c>
      <c r="F81" s="12" t="s">
        <v>853</v>
      </c>
      <c r="G81" s="19" t="s">
        <v>580</v>
      </c>
      <c r="H81" s="12" t="s">
        <v>854</v>
      </c>
    </row>
    <row r="82" spans="1:8" ht="15" customHeight="1" x14ac:dyDescent="0.25">
      <c r="A82" s="12" t="s">
        <v>113</v>
      </c>
      <c r="B82" s="12" t="s">
        <v>855</v>
      </c>
      <c r="C82" s="12" t="s">
        <v>856</v>
      </c>
      <c r="D82" s="19" t="s">
        <v>577</v>
      </c>
      <c r="E82" s="19"/>
      <c r="F82" s="12" t="s">
        <v>857</v>
      </c>
      <c r="G82" s="19" t="s">
        <v>617</v>
      </c>
      <c r="H82" s="12" t="s">
        <v>858</v>
      </c>
    </row>
    <row r="83" spans="1:8" ht="15" customHeight="1" x14ac:dyDescent="0.25">
      <c r="A83" s="12" t="s">
        <v>113</v>
      </c>
      <c r="B83" s="12" t="s">
        <v>859</v>
      </c>
      <c r="C83" s="12"/>
      <c r="D83" s="19" t="s">
        <v>615</v>
      </c>
      <c r="E83" s="19"/>
      <c r="F83" s="12" t="s">
        <v>860</v>
      </c>
      <c r="G83" s="19" t="s">
        <v>617</v>
      </c>
      <c r="H83" s="12" t="s">
        <v>656</v>
      </c>
    </row>
    <row r="84" spans="1:8" ht="15" customHeight="1" x14ac:dyDescent="0.25">
      <c r="A84" s="12" t="s">
        <v>123</v>
      </c>
      <c r="B84" s="12" t="s">
        <v>861</v>
      </c>
      <c r="C84" s="12" t="s">
        <v>862</v>
      </c>
      <c r="D84" s="19" t="s">
        <v>601</v>
      </c>
      <c r="E84" s="19" t="s">
        <v>636</v>
      </c>
      <c r="F84" s="12" t="s">
        <v>863</v>
      </c>
      <c r="G84" s="19" t="s">
        <v>580</v>
      </c>
      <c r="H84" s="12" t="s">
        <v>864</v>
      </c>
    </row>
    <row r="85" spans="1:8" ht="15" customHeight="1" x14ac:dyDescent="0.25">
      <c r="A85" s="12" t="s">
        <v>123</v>
      </c>
      <c r="B85" s="12" t="s">
        <v>865</v>
      </c>
      <c r="C85" s="12" t="s">
        <v>866</v>
      </c>
      <c r="D85" s="19" t="s">
        <v>601</v>
      </c>
      <c r="E85" s="19" t="s">
        <v>636</v>
      </c>
      <c r="F85" s="12" t="s">
        <v>867</v>
      </c>
      <c r="G85" s="19" t="s">
        <v>580</v>
      </c>
      <c r="H85" s="12" t="s">
        <v>850</v>
      </c>
    </row>
    <row r="86" spans="1:8" ht="15" customHeight="1" x14ac:dyDescent="0.25">
      <c r="A86" s="12" t="s">
        <v>123</v>
      </c>
      <c r="B86" s="12" t="s">
        <v>868</v>
      </c>
      <c r="C86" s="12" t="s">
        <v>869</v>
      </c>
      <c r="D86" s="19" t="s">
        <v>601</v>
      </c>
      <c r="E86" s="19" t="s">
        <v>636</v>
      </c>
      <c r="F86" s="12" t="s">
        <v>870</v>
      </c>
      <c r="G86" s="19" t="s">
        <v>580</v>
      </c>
      <c r="H86" s="12" t="s">
        <v>846</v>
      </c>
    </row>
    <row r="87" spans="1:8" ht="15" customHeight="1" x14ac:dyDescent="0.25">
      <c r="A87" s="12" t="s">
        <v>123</v>
      </c>
      <c r="B87" s="12" t="s">
        <v>871</v>
      </c>
      <c r="C87" s="12"/>
      <c r="D87" s="19" t="s">
        <v>577</v>
      </c>
      <c r="E87" s="19"/>
      <c r="F87" s="12" t="s">
        <v>872</v>
      </c>
      <c r="G87" s="19" t="s">
        <v>617</v>
      </c>
      <c r="H87" s="12" t="s">
        <v>873</v>
      </c>
    </row>
    <row r="88" spans="1:8" ht="15" customHeight="1" x14ac:dyDescent="0.25">
      <c r="A88" s="12" t="s">
        <v>123</v>
      </c>
      <c r="B88" s="12" t="s">
        <v>874</v>
      </c>
      <c r="C88" s="12"/>
      <c r="D88" s="19" t="s">
        <v>615</v>
      </c>
      <c r="E88" s="19"/>
      <c r="F88" s="12" t="s">
        <v>875</v>
      </c>
      <c r="G88" s="19" t="s">
        <v>617</v>
      </c>
      <c r="H88" s="12" t="s">
        <v>876</v>
      </c>
    </row>
    <row r="89" spans="1:8" ht="15" customHeight="1" x14ac:dyDescent="0.25">
      <c r="A89" s="12" t="s">
        <v>82</v>
      </c>
      <c r="B89" s="12" t="s">
        <v>877</v>
      </c>
      <c r="C89" s="12" t="s">
        <v>878</v>
      </c>
      <c r="D89" s="19" t="s">
        <v>596</v>
      </c>
      <c r="E89" s="19" t="s">
        <v>796</v>
      </c>
      <c r="F89" s="12" t="s">
        <v>879</v>
      </c>
      <c r="G89" s="19" t="s">
        <v>580</v>
      </c>
      <c r="H89" s="12" t="s">
        <v>880</v>
      </c>
    </row>
    <row r="90" spans="1:8" ht="15" customHeight="1" x14ac:dyDescent="0.25">
      <c r="A90" s="12" t="s">
        <v>82</v>
      </c>
      <c r="B90" s="12" t="s">
        <v>881</v>
      </c>
      <c r="C90" s="12" t="s">
        <v>882</v>
      </c>
      <c r="D90" s="19" t="s">
        <v>596</v>
      </c>
      <c r="E90" s="19" t="s">
        <v>796</v>
      </c>
      <c r="F90" s="12" t="s">
        <v>883</v>
      </c>
      <c r="G90" s="19" t="s">
        <v>580</v>
      </c>
      <c r="H90" s="12" t="s">
        <v>884</v>
      </c>
    </row>
    <row r="91" spans="1:8" ht="15" customHeight="1" x14ac:dyDescent="0.25">
      <c r="A91" s="12" t="s">
        <v>118</v>
      </c>
      <c r="B91" s="12" t="s">
        <v>885</v>
      </c>
      <c r="C91" s="12" t="s">
        <v>886</v>
      </c>
      <c r="D91" s="19" t="s">
        <v>596</v>
      </c>
      <c r="E91" s="19" t="s">
        <v>796</v>
      </c>
      <c r="F91" s="12" t="s">
        <v>887</v>
      </c>
      <c r="G91" s="19" t="s">
        <v>580</v>
      </c>
      <c r="H91" s="12" t="s">
        <v>888</v>
      </c>
    </row>
    <row r="92" spans="1:8" ht="15" customHeight="1" x14ac:dyDescent="0.25">
      <c r="A92" s="12" t="s">
        <v>118</v>
      </c>
      <c r="B92" s="12" t="s">
        <v>889</v>
      </c>
      <c r="C92" s="12" t="s">
        <v>890</v>
      </c>
      <c r="D92" s="19" t="s">
        <v>601</v>
      </c>
      <c r="E92" s="19" t="s">
        <v>796</v>
      </c>
      <c r="F92" s="12" t="s">
        <v>891</v>
      </c>
      <c r="G92" s="19" t="s">
        <v>580</v>
      </c>
      <c r="H92" s="12" t="s">
        <v>892</v>
      </c>
    </row>
    <row r="93" spans="1:8" ht="15" customHeight="1" x14ac:dyDescent="0.25">
      <c r="A93" s="12" t="s">
        <v>97</v>
      </c>
      <c r="B93" s="12" t="s">
        <v>893</v>
      </c>
      <c r="C93" s="12" t="s">
        <v>443</v>
      </c>
      <c r="D93" s="19" t="s">
        <v>583</v>
      </c>
      <c r="E93" s="19" t="s">
        <v>796</v>
      </c>
      <c r="F93" s="12" t="s">
        <v>894</v>
      </c>
      <c r="G93" s="19" t="s">
        <v>580</v>
      </c>
      <c r="H93" s="12" t="s">
        <v>895</v>
      </c>
    </row>
    <row r="94" spans="1:8" ht="15" customHeight="1" x14ac:dyDescent="0.25">
      <c r="A94" s="12" t="s">
        <v>97</v>
      </c>
      <c r="B94" s="12" t="s">
        <v>896</v>
      </c>
      <c r="C94" s="12" t="s">
        <v>897</v>
      </c>
      <c r="D94" s="19" t="s">
        <v>583</v>
      </c>
      <c r="E94" s="19" t="s">
        <v>796</v>
      </c>
      <c r="F94" s="12" t="s">
        <v>898</v>
      </c>
      <c r="G94" s="19" t="s">
        <v>580</v>
      </c>
      <c r="H94" s="12" t="s">
        <v>899</v>
      </c>
    </row>
    <row r="95" spans="1:8" ht="15" customHeight="1" x14ac:dyDescent="0.25">
      <c r="A95" s="12" t="s">
        <v>97</v>
      </c>
      <c r="B95" s="12" t="s">
        <v>900</v>
      </c>
      <c r="C95" s="12" t="s">
        <v>901</v>
      </c>
      <c r="D95" s="19" t="s">
        <v>583</v>
      </c>
      <c r="E95" s="19" t="s">
        <v>796</v>
      </c>
      <c r="F95" s="12" t="s">
        <v>902</v>
      </c>
      <c r="G95" s="19" t="s">
        <v>580</v>
      </c>
      <c r="H95" s="12" t="s">
        <v>903</v>
      </c>
    </row>
    <row r="96" spans="1:8" ht="15" customHeight="1" x14ac:dyDescent="0.25">
      <c r="A96" s="12" t="s">
        <v>113</v>
      </c>
      <c r="B96" s="12" t="s">
        <v>904</v>
      </c>
      <c r="C96" s="12" t="s">
        <v>905</v>
      </c>
      <c r="D96" s="19" t="s">
        <v>596</v>
      </c>
      <c r="E96" s="19" t="s">
        <v>796</v>
      </c>
      <c r="F96" s="12" t="s">
        <v>906</v>
      </c>
      <c r="G96" s="19" t="s">
        <v>580</v>
      </c>
      <c r="H96" s="12" t="s">
        <v>907</v>
      </c>
    </row>
    <row r="97" spans="1:8" ht="15" customHeight="1" x14ac:dyDescent="0.25">
      <c r="A97" s="12" t="s">
        <v>113</v>
      </c>
      <c r="B97" s="12" t="s">
        <v>908</v>
      </c>
      <c r="C97" s="12" t="s">
        <v>909</v>
      </c>
      <c r="D97" s="19" t="s">
        <v>596</v>
      </c>
      <c r="E97" s="19" t="s">
        <v>796</v>
      </c>
      <c r="F97" s="12" t="s">
        <v>910</v>
      </c>
      <c r="G97" s="19" t="s">
        <v>580</v>
      </c>
      <c r="H97" s="12" t="s">
        <v>826</v>
      </c>
    </row>
    <row r="98" spans="1:8" ht="15" customHeight="1" x14ac:dyDescent="0.25">
      <c r="A98" s="12" t="s">
        <v>123</v>
      </c>
      <c r="B98" s="12" t="s">
        <v>911</v>
      </c>
      <c r="C98" s="12" t="s">
        <v>912</v>
      </c>
      <c r="D98" s="19" t="s">
        <v>577</v>
      </c>
      <c r="E98" s="19" t="s">
        <v>796</v>
      </c>
      <c r="F98" s="12" t="s">
        <v>913</v>
      </c>
      <c r="G98" s="19" t="s">
        <v>580</v>
      </c>
      <c r="H98" s="12" t="s">
        <v>914</v>
      </c>
    </row>
    <row r="99" spans="1:8" ht="15" customHeight="1" x14ac:dyDescent="0.25">
      <c r="A99" s="12" t="s">
        <v>123</v>
      </c>
      <c r="B99" s="12" t="s">
        <v>915</v>
      </c>
      <c r="C99" s="12" t="s">
        <v>916</v>
      </c>
      <c r="D99" s="19" t="s">
        <v>596</v>
      </c>
      <c r="E99" s="19" t="s">
        <v>796</v>
      </c>
      <c r="F99" s="12" t="s">
        <v>917</v>
      </c>
      <c r="G99" s="19" t="s">
        <v>580</v>
      </c>
      <c r="H99" s="12" t="s">
        <v>918</v>
      </c>
    </row>
    <row r="100" spans="1:8" ht="15" customHeight="1" x14ac:dyDescent="0.25">
      <c r="A100" s="12" t="s">
        <v>102</v>
      </c>
      <c r="B100" s="12" t="s">
        <v>919</v>
      </c>
      <c r="C100" s="12" t="s">
        <v>920</v>
      </c>
      <c r="D100" s="19" t="s">
        <v>577</v>
      </c>
      <c r="E100" s="19" t="s">
        <v>796</v>
      </c>
      <c r="F100" s="12" t="s">
        <v>921</v>
      </c>
      <c r="G100" s="19" t="s">
        <v>580</v>
      </c>
      <c r="H100" s="12" t="s">
        <v>922</v>
      </c>
    </row>
    <row r="101" spans="1:8" ht="15" customHeight="1" x14ac:dyDescent="0.25">
      <c r="A101" s="12" t="s">
        <v>82</v>
      </c>
      <c r="B101" s="12" t="s">
        <v>923</v>
      </c>
      <c r="C101" s="12" t="s">
        <v>924</v>
      </c>
      <c r="D101" s="19" t="s">
        <v>583</v>
      </c>
      <c r="E101" s="19" t="s">
        <v>796</v>
      </c>
      <c r="F101" s="12" t="s">
        <v>925</v>
      </c>
      <c r="G101" s="19" t="s">
        <v>580</v>
      </c>
      <c r="H101" s="12" t="s">
        <v>926</v>
      </c>
    </row>
    <row r="102" spans="1:8" ht="15" customHeight="1" x14ac:dyDescent="0.25">
      <c r="A102" s="12" t="s">
        <v>82</v>
      </c>
      <c r="B102" s="12" t="s">
        <v>927</v>
      </c>
      <c r="C102" s="12" t="s">
        <v>764</v>
      </c>
      <c r="D102" s="19" t="s">
        <v>583</v>
      </c>
      <c r="E102" s="19" t="s">
        <v>796</v>
      </c>
      <c r="F102" s="12" t="s">
        <v>928</v>
      </c>
      <c r="G102" s="19" t="s">
        <v>580</v>
      </c>
      <c r="H102" s="12" t="s">
        <v>929</v>
      </c>
    </row>
    <row r="103" spans="1:8" ht="15" customHeight="1" x14ac:dyDescent="0.25">
      <c r="A103" s="12" t="s">
        <v>82</v>
      </c>
      <c r="B103" s="12" t="s">
        <v>930</v>
      </c>
      <c r="C103" s="12" t="s">
        <v>931</v>
      </c>
      <c r="D103" s="19" t="s">
        <v>596</v>
      </c>
      <c r="E103" s="19" t="s">
        <v>796</v>
      </c>
      <c r="F103" s="12" t="s">
        <v>932</v>
      </c>
      <c r="G103" s="19" t="s">
        <v>580</v>
      </c>
      <c r="H103" s="12" t="s">
        <v>933</v>
      </c>
    </row>
    <row r="104" spans="1:8" ht="15" customHeight="1" x14ac:dyDescent="0.25">
      <c r="A104" s="12" t="s">
        <v>67</v>
      </c>
      <c r="B104" s="12" t="s">
        <v>934</v>
      </c>
      <c r="C104" s="12" t="s">
        <v>935</v>
      </c>
      <c r="D104" s="19" t="s">
        <v>596</v>
      </c>
      <c r="E104" s="19" t="s">
        <v>796</v>
      </c>
      <c r="F104" s="12" t="s">
        <v>936</v>
      </c>
      <c r="G104" s="19" t="s">
        <v>580</v>
      </c>
      <c r="H104" s="12" t="s">
        <v>937</v>
      </c>
    </row>
    <row r="105" spans="1:8" ht="15" customHeight="1" x14ac:dyDescent="0.25">
      <c r="A105" s="12" t="s">
        <v>67</v>
      </c>
      <c r="B105" s="12" t="s">
        <v>938</v>
      </c>
      <c r="C105" s="12" t="s">
        <v>939</v>
      </c>
      <c r="D105" s="19" t="s">
        <v>596</v>
      </c>
      <c r="E105" s="19" t="s">
        <v>796</v>
      </c>
      <c r="F105" s="12" t="s">
        <v>940</v>
      </c>
      <c r="G105" s="19" t="s">
        <v>580</v>
      </c>
      <c r="H105" s="12" t="s">
        <v>941</v>
      </c>
    </row>
    <row r="106" spans="1:8" ht="15" customHeight="1" x14ac:dyDescent="0.25">
      <c r="A106" s="12" t="s">
        <v>67</v>
      </c>
      <c r="B106" s="12" t="s">
        <v>942</v>
      </c>
      <c r="C106" s="12" t="s">
        <v>943</v>
      </c>
      <c r="D106" s="19" t="s">
        <v>577</v>
      </c>
      <c r="E106" s="19" t="s">
        <v>796</v>
      </c>
      <c r="F106" s="12" t="s">
        <v>944</v>
      </c>
      <c r="G106" s="19" t="s">
        <v>580</v>
      </c>
      <c r="H106" s="12" t="s">
        <v>945</v>
      </c>
    </row>
    <row r="107" spans="1:8" ht="15" customHeight="1" x14ac:dyDescent="0.25">
      <c r="A107" s="12" t="s">
        <v>67</v>
      </c>
      <c r="B107" s="12" t="s">
        <v>946</v>
      </c>
      <c r="C107" s="12" t="s">
        <v>947</v>
      </c>
      <c r="D107" s="19" t="s">
        <v>601</v>
      </c>
      <c r="E107" s="19" t="s">
        <v>796</v>
      </c>
      <c r="F107" s="12" t="s">
        <v>948</v>
      </c>
      <c r="G107" s="19" t="s">
        <v>580</v>
      </c>
      <c r="H107" s="12" t="s">
        <v>949</v>
      </c>
    </row>
    <row r="108" spans="1:8" ht="15" customHeight="1" x14ac:dyDescent="0.25">
      <c r="A108" s="12" t="s">
        <v>67</v>
      </c>
      <c r="B108" s="12" t="s">
        <v>950</v>
      </c>
      <c r="C108" s="12" t="s">
        <v>951</v>
      </c>
      <c r="D108" s="19" t="s">
        <v>596</v>
      </c>
      <c r="E108" s="19" t="s">
        <v>796</v>
      </c>
      <c r="F108" s="12" t="s">
        <v>952</v>
      </c>
      <c r="G108" s="19" t="s">
        <v>580</v>
      </c>
      <c r="H108" s="12" t="s">
        <v>953</v>
      </c>
    </row>
    <row r="109" spans="1:8" ht="15" customHeight="1" x14ac:dyDescent="0.25">
      <c r="A109" s="12" t="s">
        <v>61</v>
      </c>
      <c r="B109" s="12" t="s">
        <v>954</v>
      </c>
      <c r="C109" s="12" t="s">
        <v>955</v>
      </c>
      <c r="D109" s="19" t="s">
        <v>583</v>
      </c>
      <c r="E109" s="19" t="s">
        <v>796</v>
      </c>
      <c r="F109" s="12" t="s">
        <v>956</v>
      </c>
      <c r="G109" s="19" t="s">
        <v>580</v>
      </c>
      <c r="H109" s="12" t="s">
        <v>957</v>
      </c>
    </row>
    <row r="110" spans="1:8" ht="15" customHeight="1" x14ac:dyDescent="0.25">
      <c r="A110" s="12" t="s">
        <v>61</v>
      </c>
      <c r="B110" s="12" t="s">
        <v>958</v>
      </c>
      <c r="C110" s="12" t="s">
        <v>959</v>
      </c>
      <c r="D110" s="19" t="s">
        <v>601</v>
      </c>
      <c r="E110" s="19" t="s">
        <v>796</v>
      </c>
      <c r="F110" s="12" t="s">
        <v>960</v>
      </c>
      <c r="G110" s="19" t="s">
        <v>580</v>
      </c>
      <c r="H110" s="12" t="s">
        <v>961</v>
      </c>
    </row>
    <row r="111" spans="1:8" ht="15" customHeight="1" x14ac:dyDescent="0.25">
      <c r="A111" s="12" t="s">
        <v>61</v>
      </c>
      <c r="B111" s="12" t="s">
        <v>962</v>
      </c>
      <c r="C111" s="12" t="s">
        <v>963</v>
      </c>
      <c r="D111" s="19" t="s">
        <v>596</v>
      </c>
      <c r="E111" s="19" t="s">
        <v>796</v>
      </c>
      <c r="F111" s="12" t="s">
        <v>964</v>
      </c>
      <c r="G111" s="19" t="s">
        <v>580</v>
      </c>
      <c r="H111" s="12" t="s">
        <v>965</v>
      </c>
    </row>
    <row r="112" spans="1:8" ht="15" customHeight="1" x14ac:dyDescent="0.25">
      <c r="A112" s="12" t="s">
        <v>77</v>
      </c>
      <c r="B112" s="12" t="s">
        <v>799</v>
      </c>
      <c r="C112" s="12" t="s">
        <v>800</v>
      </c>
      <c r="D112" s="19" t="s">
        <v>601</v>
      </c>
      <c r="E112" s="19" t="s">
        <v>796</v>
      </c>
      <c r="F112" s="12" t="s">
        <v>966</v>
      </c>
      <c r="G112" s="19" t="s">
        <v>580</v>
      </c>
      <c r="H112" s="12" t="s">
        <v>846</v>
      </c>
    </row>
    <row r="113" spans="1:8" ht="15" customHeight="1" x14ac:dyDescent="0.25">
      <c r="A113" s="12" t="s">
        <v>77</v>
      </c>
      <c r="B113" s="12" t="s">
        <v>967</v>
      </c>
      <c r="C113" s="12" t="s">
        <v>803</v>
      </c>
      <c r="D113" s="19" t="s">
        <v>596</v>
      </c>
      <c r="E113" s="19" t="s">
        <v>796</v>
      </c>
      <c r="F113" s="12" t="s">
        <v>968</v>
      </c>
      <c r="G113" s="19" t="s">
        <v>580</v>
      </c>
      <c r="H113" s="12" t="s">
        <v>969</v>
      </c>
    </row>
    <row r="114" spans="1:8" ht="15" customHeight="1" x14ac:dyDescent="0.25">
      <c r="A114" s="12" t="s">
        <v>77</v>
      </c>
      <c r="B114" s="12" t="s">
        <v>970</v>
      </c>
      <c r="C114" s="12" t="s">
        <v>971</v>
      </c>
      <c r="D114" s="19" t="s">
        <v>596</v>
      </c>
      <c r="E114" s="19" t="s">
        <v>796</v>
      </c>
      <c r="F114" s="12" t="s">
        <v>972</v>
      </c>
      <c r="G114" s="19" t="s">
        <v>580</v>
      </c>
      <c r="H114" s="12" t="s">
        <v>973</v>
      </c>
    </row>
    <row r="115" spans="1:8" ht="15" customHeight="1" x14ac:dyDescent="0.25">
      <c r="A115" s="12" t="s">
        <v>82</v>
      </c>
      <c r="B115" s="12" t="s">
        <v>974</v>
      </c>
      <c r="C115" s="12" t="s">
        <v>975</v>
      </c>
      <c r="D115" s="19" t="s">
        <v>596</v>
      </c>
      <c r="E115" s="19" t="s">
        <v>796</v>
      </c>
      <c r="F115" s="12" t="s">
        <v>976</v>
      </c>
      <c r="G115" s="19" t="s">
        <v>580</v>
      </c>
      <c r="H115" s="12" t="s">
        <v>977</v>
      </c>
    </row>
    <row r="116" spans="1:8" ht="15" customHeight="1" x14ac:dyDescent="0.25">
      <c r="A116" s="12" t="s">
        <v>82</v>
      </c>
      <c r="B116" s="12" t="s">
        <v>978</v>
      </c>
      <c r="C116" s="12" t="s">
        <v>979</v>
      </c>
      <c r="D116" s="19" t="s">
        <v>596</v>
      </c>
      <c r="E116" s="19" t="s">
        <v>796</v>
      </c>
      <c r="F116" s="12" t="s">
        <v>980</v>
      </c>
      <c r="G116" s="19" t="s">
        <v>580</v>
      </c>
      <c r="H116" s="12" t="s">
        <v>981</v>
      </c>
    </row>
    <row r="117" spans="1:8" ht="15" customHeight="1" x14ac:dyDescent="0.25">
      <c r="A117" s="12" t="s">
        <v>82</v>
      </c>
      <c r="B117" s="12" t="s">
        <v>982</v>
      </c>
      <c r="C117" s="12" t="s">
        <v>983</v>
      </c>
      <c r="D117" s="19" t="s">
        <v>596</v>
      </c>
      <c r="E117" s="19" t="s">
        <v>796</v>
      </c>
      <c r="F117" s="12" t="s">
        <v>984</v>
      </c>
      <c r="G117" s="19" t="s">
        <v>580</v>
      </c>
      <c r="H117" s="12" t="s">
        <v>985</v>
      </c>
    </row>
    <row r="118" spans="1:8" ht="15" customHeight="1" x14ac:dyDescent="0.25">
      <c r="A118" s="12" t="s">
        <v>82</v>
      </c>
      <c r="B118" s="12" t="s">
        <v>986</v>
      </c>
      <c r="C118" s="12" t="s">
        <v>987</v>
      </c>
      <c r="D118" s="19" t="s">
        <v>596</v>
      </c>
      <c r="E118" s="19" t="s">
        <v>796</v>
      </c>
      <c r="F118" s="12" t="s">
        <v>988</v>
      </c>
      <c r="G118" s="19" t="s">
        <v>580</v>
      </c>
      <c r="H118" s="12" t="s">
        <v>989</v>
      </c>
    </row>
    <row r="119" spans="1:8" ht="15" customHeight="1" x14ac:dyDescent="0.25">
      <c r="A119" s="12" t="s">
        <v>82</v>
      </c>
      <c r="B119" s="12" t="s">
        <v>990</v>
      </c>
      <c r="C119" s="12" t="s">
        <v>991</v>
      </c>
      <c r="D119" s="19" t="s">
        <v>596</v>
      </c>
      <c r="E119" s="19" t="s">
        <v>796</v>
      </c>
      <c r="F119" s="12" t="s">
        <v>992</v>
      </c>
      <c r="G119" s="19" t="s">
        <v>580</v>
      </c>
      <c r="H119" s="12" t="s">
        <v>993</v>
      </c>
    </row>
    <row r="120" spans="1:8" ht="15" customHeight="1" x14ac:dyDescent="0.25">
      <c r="A120" s="12" t="s">
        <v>92</v>
      </c>
      <c r="B120" s="12" t="s">
        <v>994</v>
      </c>
      <c r="C120" s="12" t="s">
        <v>995</v>
      </c>
      <c r="D120" s="19" t="s">
        <v>601</v>
      </c>
      <c r="E120" s="19" t="s">
        <v>796</v>
      </c>
      <c r="F120" s="12" t="s">
        <v>996</v>
      </c>
      <c r="G120" s="19" t="s">
        <v>580</v>
      </c>
      <c r="H120" s="12" t="s">
        <v>724</v>
      </c>
    </row>
    <row r="121" spans="1:8" ht="15" customHeight="1" x14ac:dyDescent="0.25">
      <c r="A121" s="12" t="s">
        <v>92</v>
      </c>
      <c r="B121" s="12" t="s">
        <v>997</v>
      </c>
      <c r="C121" s="12" t="s">
        <v>998</v>
      </c>
      <c r="D121" s="19" t="s">
        <v>601</v>
      </c>
      <c r="E121" s="19" t="s">
        <v>796</v>
      </c>
      <c r="F121" s="12" t="s">
        <v>999</v>
      </c>
      <c r="G121" s="19" t="s">
        <v>580</v>
      </c>
      <c r="H121" s="12" t="s">
        <v>846</v>
      </c>
    </row>
    <row r="122" spans="1:8" ht="15" customHeight="1" x14ac:dyDescent="0.25">
      <c r="A122" s="12" t="s">
        <v>92</v>
      </c>
      <c r="B122" s="12" t="s">
        <v>1000</v>
      </c>
      <c r="C122" s="12" t="s">
        <v>1001</v>
      </c>
      <c r="D122" s="19" t="s">
        <v>596</v>
      </c>
      <c r="E122" s="19" t="s">
        <v>796</v>
      </c>
      <c r="F122" s="12" t="s">
        <v>1002</v>
      </c>
      <c r="G122" s="19" t="s">
        <v>580</v>
      </c>
      <c r="H122" s="12" t="s">
        <v>1003</v>
      </c>
    </row>
    <row r="123" spans="1:8" ht="15" customHeight="1" x14ac:dyDescent="0.25">
      <c r="A123" s="12" t="s">
        <v>87</v>
      </c>
      <c r="B123" s="12" t="s">
        <v>1004</v>
      </c>
      <c r="C123" s="12" t="s">
        <v>1005</v>
      </c>
      <c r="D123" s="19" t="s">
        <v>583</v>
      </c>
      <c r="E123" s="19" t="s">
        <v>796</v>
      </c>
      <c r="F123" s="12" t="s">
        <v>1006</v>
      </c>
      <c r="G123" s="19" t="s">
        <v>580</v>
      </c>
      <c r="H123" s="12" t="s">
        <v>1007</v>
      </c>
    </row>
    <row r="124" spans="1:8" ht="15" customHeight="1" x14ac:dyDescent="0.25">
      <c r="A124" s="12" t="s">
        <v>87</v>
      </c>
      <c r="B124" s="12" t="s">
        <v>1008</v>
      </c>
      <c r="C124" s="12" t="s">
        <v>1009</v>
      </c>
      <c r="D124" s="19" t="s">
        <v>596</v>
      </c>
      <c r="E124" s="19" t="s">
        <v>796</v>
      </c>
      <c r="F124" s="12" t="s">
        <v>1010</v>
      </c>
      <c r="G124" s="19" t="s">
        <v>580</v>
      </c>
      <c r="H124" s="12" t="s">
        <v>1011</v>
      </c>
    </row>
    <row r="125" spans="1:8" ht="15" customHeight="1" x14ac:dyDescent="0.25">
      <c r="A125" s="12" t="s">
        <v>87</v>
      </c>
      <c r="B125" s="12" t="s">
        <v>1012</v>
      </c>
      <c r="C125" s="12" t="s">
        <v>1013</v>
      </c>
      <c r="D125" s="19" t="s">
        <v>577</v>
      </c>
      <c r="E125" s="19" t="s">
        <v>796</v>
      </c>
      <c r="F125" s="12" t="s">
        <v>1014</v>
      </c>
      <c r="G125" s="19" t="s">
        <v>580</v>
      </c>
      <c r="H125" s="12" t="s">
        <v>1015</v>
      </c>
    </row>
    <row r="126" spans="1:8" ht="15" customHeight="1" x14ac:dyDescent="0.25">
      <c r="A126" s="12" t="s">
        <v>87</v>
      </c>
      <c r="B126" s="12" t="s">
        <v>795</v>
      </c>
      <c r="C126" s="12" t="s">
        <v>420</v>
      </c>
      <c r="D126" s="19" t="s">
        <v>583</v>
      </c>
      <c r="E126" s="19" t="s">
        <v>796</v>
      </c>
      <c r="F126" s="12" t="s">
        <v>1016</v>
      </c>
      <c r="G126" s="19" t="s">
        <v>580</v>
      </c>
      <c r="H126" s="12" t="s">
        <v>1017</v>
      </c>
    </row>
    <row r="127" spans="1:8" ht="15" customHeight="1" x14ac:dyDescent="0.25">
      <c r="A127" s="12" t="s">
        <v>87</v>
      </c>
      <c r="B127" s="12" t="s">
        <v>1018</v>
      </c>
      <c r="C127" s="12"/>
      <c r="D127" s="19" t="s">
        <v>601</v>
      </c>
      <c r="E127" s="19" t="s">
        <v>796</v>
      </c>
      <c r="F127" s="12" t="s">
        <v>1019</v>
      </c>
      <c r="G127" s="19" t="s">
        <v>617</v>
      </c>
      <c r="H127" s="12" t="s">
        <v>1020</v>
      </c>
    </row>
    <row r="128" spans="1:8" ht="15" customHeight="1" x14ac:dyDescent="0.25">
      <c r="A128" s="12"/>
      <c r="B128" s="12"/>
      <c r="C128" s="12"/>
      <c r="D128" s="19"/>
      <c r="E128" s="19"/>
      <c r="F128" s="12"/>
      <c r="G128" s="19"/>
      <c r="H128" s="12"/>
    </row>
    <row r="129" spans="1:8" ht="15" customHeight="1" x14ac:dyDescent="0.25">
      <c r="A129" s="12"/>
      <c r="B129" s="12"/>
      <c r="C129" s="12"/>
      <c r="D129" s="19"/>
      <c r="E129" s="19"/>
      <c r="F129" s="12"/>
      <c r="G129" s="19"/>
      <c r="H129" s="12"/>
    </row>
    <row r="130" spans="1:8" ht="15" customHeight="1" x14ac:dyDescent="0.25">
      <c r="A130" s="12"/>
      <c r="B130" s="12"/>
      <c r="C130" s="12"/>
      <c r="D130" s="19"/>
      <c r="E130" s="19"/>
      <c r="F130" s="12"/>
      <c r="G130" s="19"/>
      <c r="H130" s="12"/>
    </row>
    <row r="131" spans="1:8" ht="15" customHeight="1" x14ac:dyDescent="0.25">
      <c r="A131" s="12"/>
      <c r="B131" s="12"/>
      <c r="C131" s="12"/>
      <c r="D131" s="19"/>
      <c r="E131" s="19"/>
      <c r="F131" s="12"/>
      <c r="G131" s="19"/>
      <c r="H131" s="12"/>
    </row>
    <row r="132" spans="1:8" ht="15" customHeight="1" x14ac:dyDescent="0.25">
      <c r="A132" s="12"/>
      <c r="B132" s="12"/>
      <c r="C132" s="12"/>
      <c r="D132" s="19"/>
      <c r="E132" s="19"/>
      <c r="F132" s="12"/>
      <c r="G132" s="19"/>
      <c r="H132" s="12"/>
    </row>
    <row r="133" spans="1:8" ht="15" customHeight="1" x14ac:dyDescent="0.25">
      <c r="A133" s="12"/>
      <c r="B133" s="12"/>
      <c r="C133" s="12"/>
      <c r="D133" s="19"/>
      <c r="E133" s="19"/>
      <c r="F133" s="12"/>
      <c r="G133" s="19"/>
      <c r="H133" s="12"/>
    </row>
    <row r="134" spans="1:8" ht="15" customHeight="1" x14ac:dyDescent="0.25">
      <c r="A134" s="12"/>
      <c r="B134" s="12"/>
      <c r="C134" s="12"/>
      <c r="D134" s="19"/>
      <c r="E134" s="19"/>
      <c r="F134" s="12"/>
      <c r="G134" s="19"/>
      <c r="H134" s="12"/>
    </row>
    <row r="135" spans="1:8" ht="15" customHeight="1" x14ac:dyDescent="0.25">
      <c r="A135" s="12"/>
      <c r="B135" s="12"/>
      <c r="C135" s="12"/>
      <c r="D135" s="19"/>
      <c r="E135" s="19"/>
      <c r="F135" s="12"/>
      <c r="G135" s="19"/>
      <c r="H135" s="12"/>
    </row>
    <row r="136" spans="1:8" ht="15" customHeight="1" x14ac:dyDescent="0.25">
      <c r="A136" s="12"/>
      <c r="B136" s="12"/>
      <c r="C136" s="12"/>
      <c r="D136" s="19"/>
      <c r="E136" s="19"/>
      <c r="F136" s="12"/>
      <c r="G136" s="19"/>
      <c r="H136" s="12"/>
    </row>
    <row r="137" spans="1:8" ht="15" customHeight="1" x14ac:dyDescent="0.25">
      <c r="A137" s="12"/>
      <c r="B137" s="12"/>
      <c r="C137" s="12"/>
      <c r="D137" s="19"/>
      <c r="E137" s="19"/>
      <c r="F137" s="12"/>
      <c r="G137" s="19"/>
      <c r="H137" s="12"/>
    </row>
    <row r="138" spans="1:8" ht="15" customHeight="1" x14ac:dyDescent="0.25">
      <c r="A138" s="12"/>
      <c r="B138" s="12"/>
      <c r="C138" s="12"/>
      <c r="D138" s="19"/>
      <c r="E138" s="19"/>
      <c r="F138" s="12"/>
      <c r="G138" s="19"/>
      <c r="H138" s="12"/>
    </row>
    <row r="139" spans="1:8" ht="15" customHeight="1" x14ac:dyDescent="0.25">
      <c r="A139" s="12"/>
      <c r="B139" s="12"/>
      <c r="C139" s="12"/>
      <c r="D139" s="19"/>
      <c r="E139" s="19"/>
      <c r="F139" s="12"/>
      <c r="G139" s="19"/>
      <c r="H139" s="12"/>
    </row>
    <row r="140" spans="1:8" ht="15" customHeight="1" x14ac:dyDescent="0.25">
      <c r="A140" s="12"/>
      <c r="B140" s="12"/>
      <c r="C140" s="12"/>
      <c r="D140" s="19"/>
      <c r="E140" s="19"/>
      <c r="F140" s="12"/>
      <c r="G140" s="19"/>
      <c r="H140" s="12"/>
    </row>
    <row r="141" spans="1:8" ht="15" customHeight="1" x14ac:dyDescent="0.25">
      <c r="A141" s="12"/>
      <c r="B141" s="12"/>
      <c r="C141" s="12"/>
      <c r="D141" s="19"/>
      <c r="E141" s="19"/>
      <c r="F141" s="12"/>
      <c r="G141" s="19"/>
      <c r="H141" s="12"/>
    </row>
    <row r="142" spans="1:8" ht="15" customHeight="1" x14ac:dyDescent="0.25">
      <c r="A142" s="12"/>
      <c r="B142" s="12"/>
      <c r="C142" s="12"/>
      <c r="D142" s="19"/>
      <c r="E142" s="19"/>
      <c r="F142" s="12"/>
      <c r="G142" s="19"/>
      <c r="H142" s="12"/>
    </row>
    <row r="143" spans="1:8" ht="15" customHeight="1" x14ac:dyDescent="0.25">
      <c r="A143" s="12"/>
      <c r="B143" s="12"/>
      <c r="C143" s="12"/>
      <c r="D143" s="19"/>
      <c r="E143" s="19"/>
      <c r="F143" s="12"/>
      <c r="G143" s="19"/>
      <c r="H143" s="12"/>
    </row>
    <row r="144" spans="1:8" ht="15" customHeight="1" x14ac:dyDescent="0.25">
      <c r="A144" s="12"/>
      <c r="B144" s="12"/>
      <c r="C144" s="12"/>
      <c r="D144" s="19"/>
      <c r="E144" s="19"/>
      <c r="F144" s="12"/>
      <c r="G144" s="19"/>
      <c r="H144" s="12"/>
    </row>
    <row r="145" spans="1:8" ht="15" customHeight="1" x14ac:dyDescent="0.25">
      <c r="A145" s="12"/>
      <c r="B145" s="12"/>
      <c r="C145" s="12"/>
      <c r="D145" s="19"/>
      <c r="E145" s="19"/>
      <c r="F145" s="12"/>
      <c r="G145" s="19"/>
      <c r="H145" s="12"/>
    </row>
    <row r="146" spans="1:8" ht="15" customHeight="1" x14ac:dyDescent="0.25">
      <c r="A146" s="12"/>
      <c r="B146" s="12"/>
      <c r="C146" s="12"/>
      <c r="D146" s="19"/>
      <c r="E146" s="19"/>
      <c r="F146" s="12"/>
      <c r="G146" s="19"/>
      <c r="H146" s="12"/>
    </row>
    <row r="147" spans="1:8" ht="15" customHeight="1" x14ac:dyDescent="0.25">
      <c r="A147" s="12"/>
      <c r="B147" s="12"/>
      <c r="C147" s="12"/>
      <c r="D147" s="19"/>
      <c r="E147" s="19"/>
      <c r="F147" s="12"/>
      <c r="G147" s="19"/>
      <c r="H147" s="12"/>
    </row>
    <row r="148" spans="1:8" ht="15" customHeight="1" x14ac:dyDescent="0.25">
      <c r="A148" s="12"/>
      <c r="B148" s="12"/>
      <c r="C148" s="12"/>
      <c r="D148" s="19"/>
      <c r="E148" s="19"/>
      <c r="F148" s="12"/>
      <c r="G148" s="19"/>
      <c r="H148" s="12"/>
    </row>
    <row r="149" spans="1:8" ht="15" customHeight="1" x14ac:dyDescent="0.25">
      <c r="A149" s="12"/>
      <c r="B149" s="12"/>
      <c r="C149" s="12"/>
      <c r="D149" s="19"/>
      <c r="E149" s="19"/>
      <c r="F149" s="12"/>
      <c r="G149" s="19"/>
      <c r="H149" s="12"/>
    </row>
    <row r="150" spans="1:8" ht="15" customHeight="1" x14ac:dyDescent="0.25">
      <c r="A150" s="12"/>
      <c r="B150" s="12"/>
      <c r="C150" s="12"/>
      <c r="D150" s="19"/>
      <c r="E150" s="19"/>
      <c r="F150" s="12"/>
      <c r="G150" s="19"/>
      <c r="H150" s="12"/>
    </row>
    <row r="151" spans="1:8" ht="15" customHeight="1" x14ac:dyDescent="0.25">
      <c r="A151" s="12"/>
      <c r="B151" s="12"/>
      <c r="C151" s="12"/>
      <c r="D151" s="19"/>
      <c r="E151" s="19"/>
      <c r="F151" s="12"/>
      <c r="G151" s="19"/>
      <c r="H151" s="12"/>
    </row>
    <row r="152" spans="1:8" ht="15" customHeight="1" x14ac:dyDescent="0.25">
      <c r="A152" s="12"/>
      <c r="B152" s="12"/>
      <c r="C152" s="12"/>
      <c r="D152" s="19"/>
      <c r="E152" s="19"/>
      <c r="F152" s="12"/>
      <c r="G152" s="19"/>
      <c r="H152" s="12"/>
    </row>
    <row r="153" spans="1:8" ht="15" customHeight="1" x14ac:dyDescent="0.25">
      <c r="A153" s="12"/>
      <c r="B153" s="12"/>
      <c r="C153" s="12"/>
      <c r="D153" s="19"/>
      <c r="E153" s="19"/>
      <c r="F153" s="12"/>
      <c r="G153" s="19"/>
      <c r="H153" s="12"/>
    </row>
    <row r="154" spans="1:8" ht="15" customHeight="1" x14ac:dyDescent="0.25">
      <c r="A154" s="12"/>
      <c r="B154" s="12"/>
      <c r="C154" s="12"/>
      <c r="D154" s="19"/>
      <c r="E154" s="19"/>
      <c r="F154" s="12"/>
      <c r="G154" s="19"/>
      <c r="H154" s="12"/>
    </row>
    <row r="155" spans="1:8" ht="15" customHeight="1" x14ac:dyDescent="0.25">
      <c r="A155" s="12"/>
      <c r="B155" s="12"/>
      <c r="C155" s="12"/>
      <c r="D155" s="19"/>
      <c r="E155" s="19"/>
      <c r="F155" s="12"/>
      <c r="G155" s="19"/>
      <c r="H155" s="12"/>
    </row>
    <row r="156" spans="1:8" ht="15" customHeight="1" x14ac:dyDescent="0.25">
      <c r="A156" s="12"/>
      <c r="B156" s="12"/>
      <c r="C156" s="12"/>
      <c r="D156" s="19"/>
      <c r="E156" s="19"/>
      <c r="F156" s="12"/>
      <c r="G156" s="19"/>
      <c r="H156" s="12"/>
    </row>
    <row r="157" spans="1:8" ht="15" customHeight="1" x14ac:dyDescent="0.25">
      <c r="A157" s="12"/>
      <c r="B157" s="12"/>
      <c r="C157" s="12"/>
      <c r="D157" s="19"/>
      <c r="E157" s="19"/>
      <c r="F157" s="12"/>
      <c r="G157" s="19"/>
      <c r="H157" s="12"/>
    </row>
    <row r="158" spans="1:8" ht="15" customHeight="1" x14ac:dyDescent="0.25">
      <c r="A158" s="12"/>
      <c r="B158" s="12"/>
      <c r="C158" s="12"/>
      <c r="D158" s="19"/>
      <c r="E158" s="19"/>
      <c r="F158" s="12"/>
      <c r="G158" s="19"/>
      <c r="H158" s="12"/>
    </row>
    <row r="159" spans="1:8" ht="15" customHeight="1" x14ac:dyDescent="0.25">
      <c r="A159" s="12"/>
      <c r="B159" s="12"/>
      <c r="C159" s="12"/>
      <c r="D159" s="19"/>
      <c r="E159" s="19"/>
      <c r="F159" s="12"/>
      <c r="G159" s="19"/>
      <c r="H159" s="12"/>
    </row>
    <row r="160" spans="1:8" ht="15" customHeight="1" x14ac:dyDescent="0.25">
      <c r="A160" s="12"/>
      <c r="B160" s="12"/>
      <c r="C160" s="12"/>
      <c r="D160" s="19"/>
      <c r="E160" s="19"/>
      <c r="F160" s="12"/>
      <c r="G160" s="19"/>
      <c r="H160" s="12"/>
    </row>
    <row r="161" spans="1:8" ht="15" customHeight="1" x14ac:dyDescent="0.25">
      <c r="A161" s="12"/>
      <c r="B161" s="12"/>
      <c r="C161" s="12"/>
      <c r="D161" s="19"/>
      <c r="E161" s="19"/>
      <c r="F161" s="12"/>
      <c r="G161" s="19"/>
      <c r="H161" s="12"/>
    </row>
    <row r="162" spans="1:8" ht="15" customHeight="1" x14ac:dyDescent="0.25">
      <c r="A162" s="12"/>
      <c r="B162" s="12"/>
      <c r="C162" s="12"/>
      <c r="D162" s="19"/>
      <c r="E162" s="19"/>
      <c r="F162" s="12"/>
      <c r="G162" s="19"/>
      <c r="H162" s="12"/>
    </row>
    <row r="163" spans="1:8" ht="15" customHeight="1" x14ac:dyDescent="0.25">
      <c r="A163" s="12"/>
      <c r="B163" s="12"/>
      <c r="C163" s="12"/>
      <c r="D163" s="19"/>
      <c r="E163" s="19"/>
      <c r="F163" s="12"/>
      <c r="G163" s="19"/>
      <c r="H163" s="12"/>
    </row>
    <row r="164" spans="1:8" ht="15" customHeight="1" x14ac:dyDescent="0.25">
      <c r="A164" s="12"/>
      <c r="B164" s="12"/>
      <c r="C164" s="12"/>
      <c r="D164" s="19"/>
      <c r="E164" s="19"/>
      <c r="F164" s="12"/>
      <c r="G164" s="19"/>
      <c r="H164" s="12"/>
    </row>
    <row r="165" spans="1:8" ht="15" customHeight="1" x14ac:dyDescent="0.25">
      <c r="A165" s="12"/>
      <c r="B165" s="12"/>
      <c r="C165" s="12"/>
      <c r="D165" s="19"/>
      <c r="E165" s="19"/>
      <c r="F165" s="12"/>
      <c r="G165" s="19"/>
      <c r="H165" s="12"/>
    </row>
    <row r="166" spans="1:8" ht="15" customHeight="1" x14ac:dyDescent="0.25">
      <c r="A166" s="12"/>
      <c r="B166" s="12"/>
      <c r="C166" s="12"/>
      <c r="D166" s="19"/>
      <c r="E166" s="19"/>
      <c r="F166" s="12"/>
      <c r="G166" s="19"/>
      <c r="H166" s="12"/>
    </row>
    <row r="167" spans="1:8" ht="15" customHeight="1" x14ac:dyDescent="0.25">
      <c r="A167" s="12"/>
      <c r="B167" s="12"/>
      <c r="C167" s="12"/>
      <c r="D167" s="19"/>
      <c r="E167" s="19"/>
      <c r="F167" s="12"/>
      <c r="G167" s="19"/>
      <c r="H167" s="12"/>
    </row>
    <row r="168" spans="1:8" ht="15" customHeight="1" x14ac:dyDescent="0.25">
      <c r="A168" s="12"/>
      <c r="B168" s="12"/>
      <c r="C168" s="12"/>
      <c r="D168" s="19"/>
      <c r="E168" s="19"/>
      <c r="F168" s="12"/>
      <c r="G168" s="19"/>
      <c r="H168" s="12"/>
    </row>
    <row r="169" spans="1:8" ht="15" customHeight="1" x14ac:dyDescent="0.25">
      <c r="A169" s="12"/>
      <c r="B169" s="12"/>
      <c r="C169" s="12"/>
      <c r="D169" s="19"/>
      <c r="E169" s="19"/>
      <c r="F169" s="12"/>
      <c r="G169" s="19"/>
      <c r="H169" s="12"/>
    </row>
    <row r="170" spans="1:8" ht="15" customHeight="1" x14ac:dyDescent="0.25">
      <c r="A170" s="12"/>
      <c r="B170" s="12"/>
      <c r="C170" s="12"/>
      <c r="D170" s="19"/>
      <c r="E170" s="19"/>
      <c r="F170" s="12"/>
      <c r="G170" s="19"/>
      <c r="H170" s="12"/>
    </row>
    <row r="171" spans="1:8" ht="15" customHeight="1" x14ac:dyDescent="0.25">
      <c r="A171" s="12"/>
      <c r="B171" s="12"/>
      <c r="C171" s="12"/>
      <c r="D171" s="19"/>
      <c r="E171" s="19"/>
      <c r="F171" s="12"/>
      <c r="G171" s="19"/>
      <c r="H171" s="12"/>
    </row>
    <row r="172" spans="1:8" ht="15" customHeight="1" x14ac:dyDescent="0.25">
      <c r="A172" s="12"/>
      <c r="B172" s="12"/>
      <c r="C172" s="12"/>
      <c r="D172" s="19"/>
      <c r="E172" s="19"/>
      <c r="F172" s="12"/>
      <c r="G172" s="19"/>
      <c r="H172" s="12"/>
    </row>
    <row r="173" spans="1:8" ht="15" customHeight="1" x14ac:dyDescent="0.25">
      <c r="A173" s="12"/>
      <c r="B173" s="12"/>
      <c r="C173" s="12"/>
      <c r="D173" s="19"/>
      <c r="E173" s="19"/>
      <c r="F173" s="12"/>
      <c r="G173" s="19"/>
      <c r="H173" s="12"/>
    </row>
    <row r="174" spans="1:8" ht="15" customHeight="1" x14ac:dyDescent="0.25">
      <c r="A174" s="12"/>
      <c r="B174" s="12"/>
      <c r="C174" s="12"/>
      <c r="D174" s="19"/>
      <c r="E174" s="19"/>
      <c r="F174" s="12"/>
      <c r="G174" s="19"/>
      <c r="H174" s="12"/>
    </row>
    <row r="175" spans="1:8" ht="15" customHeight="1" x14ac:dyDescent="0.25">
      <c r="A175" s="12"/>
      <c r="B175" s="12"/>
      <c r="C175" s="12"/>
      <c r="D175" s="19"/>
      <c r="E175" s="19"/>
      <c r="F175" s="12"/>
      <c r="G175" s="19"/>
      <c r="H175" s="12"/>
    </row>
    <row r="176" spans="1:8" ht="15" customHeight="1" x14ac:dyDescent="0.25">
      <c r="A176" s="12"/>
      <c r="B176" s="12"/>
      <c r="C176" s="12"/>
      <c r="D176" s="19"/>
      <c r="E176" s="19"/>
      <c r="F176" s="12"/>
      <c r="G176" s="19"/>
      <c r="H176" s="12"/>
    </row>
    <row r="177" spans="1:8" ht="15" customHeight="1" x14ac:dyDescent="0.25">
      <c r="A177" s="12"/>
      <c r="B177" s="12"/>
      <c r="C177" s="12"/>
      <c r="D177" s="19"/>
      <c r="E177" s="19"/>
      <c r="F177" s="12"/>
      <c r="G177" s="19"/>
      <c r="H177" s="12"/>
    </row>
    <row r="178" spans="1:8" ht="15" customHeight="1" x14ac:dyDescent="0.25">
      <c r="A178" s="12"/>
      <c r="B178" s="12"/>
      <c r="C178" s="12"/>
      <c r="D178" s="19"/>
      <c r="E178" s="19"/>
      <c r="F178" s="12"/>
      <c r="G178" s="19"/>
      <c r="H178" s="12"/>
    </row>
    <row r="179" spans="1:8" ht="15" customHeight="1" x14ac:dyDescent="0.25">
      <c r="A179" s="12"/>
      <c r="B179" s="12"/>
      <c r="C179" s="12"/>
      <c r="D179" s="19"/>
      <c r="E179" s="19"/>
      <c r="F179" s="12"/>
      <c r="G179" s="19"/>
      <c r="H179" s="12"/>
    </row>
    <row r="180" spans="1:8" ht="15" customHeight="1" x14ac:dyDescent="0.25">
      <c r="A180" s="12"/>
      <c r="B180" s="12"/>
      <c r="C180" s="12"/>
      <c r="D180" s="19"/>
      <c r="E180" s="19"/>
      <c r="F180" s="12"/>
      <c r="G180" s="19"/>
      <c r="H180" s="12"/>
    </row>
    <row r="181" spans="1:8" ht="15" customHeight="1" x14ac:dyDescent="0.25">
      <c r="A181" s="12"/>
      <c r="B181" s="12"/>
      <c r="C181" s="12"/>
      <c r="D181" s="19"/>
      <c r="E181" s="19"/>
      <c r="F181" s="12"/>
      <c r="G181" s="19"/>
      <c r="H181" s="12"/>
    </row>
    <row r="182" spans="1:8" ht="15" customHeight="1" x14ac:dyDescent="0.25">
      <c r="A182" s="12"/>
      <c r="B182" s="12"/>
      <c r="C182" s="12"/>
      <c r="D182" s="19"/>
      <c r="E182" s="19"/>
      <c r="F182" s="12"/>
      <c r="G182" s="19"/>
      <c r="H182" s="12"/>
    </row>
    <row r="183" spans="1:8" ht="15" customHeight="1" x14ac:dyDescent="0.25">
      <c r="A183" s="12"/>
      <c r="B183" s="12"/>
      <c r="C183" s="12"/>
      <c r="D183" s="19"/>
      <c r="E183" s="19"/>
      <c r="F183" s="12"/>
      <c r="G183" s="19"/>
      <c r="H183" s="12"/>
    </row>
    <row r="184" spans="1:8" ht="15" customHeight="1" x14ac:dyDescent="0.25">
      <c r="A184" s="12"/>
      <c r="B184" s="12"/>
      <c r="C184" s="12"/>
      <c r="D184" s="19"/>
      <c r="E184" s="19"/>
      <c r="F184" s="12"/>
      <c r="G184" s="19"/>
      <c r="H184" s="12"/>
    </row>
    <row r="185" spans="1:8" ht="15" customHeight="1" x14ac:dyDescent="0.25">
      <c r="A185" s="12"/>
      <c r="B185" s="12"/>
      <c r="C185" s="12"/>
      <c r="D185" s="19"/>
      <c r="E185" s="19"/>
      <c r="F185" s="12"/>
      <c r="G185" s="19"/>
      <c r="H185" s="12"/>
    </row>
    <row r="186" spans="1:8" ht="15" customHeight="1" x14ac:dyDescent="0.25">
      <c r="A186" s="12"/>
      <c r="B186" s="12"/>
      <c r="C186" s="12"/>
      <c r="D186" s="19"/>
      <c r="E186" s="19"/>
      <c r="F186" s="12"/>
      <c r="G186" s="19"/>
      <c r="H186" s="12"/>
    </row>
    <row r="187" spans="1:8" ht="15" customHeight="1" x14ac:dyDescent="0.25">
      <c r="A187" s="12"/>
      <c r="B187" s="12"/>
      <c r="C187" s="12"/>
      <c r="D187" s="19"/>
      <c r="E187" s="19"/>
      <c r="F187" s="12"/>
      <c r="G187" s="19"/>
      <c r="H187" s="12"/>
    </row>
    <row r="188" spans="1:8" ht="15" customHeight="1" x14ac:dyDescent="0.25">
      <c r="A188" s="12"/>
      <c r="B188" s="12"/>
      <c r="C188" s="12"/>
      <c r="D188" s="19"/>
      <c r="E188" s="19"/>
      <c r="F188" s="12"/>
      <c r="G188" s="19"/>
      <c r="H188" s="12"/>
    </row>
    <row r="189" spans="1:8" ht="15" customHeight="1" x14ac:dyDescent="0.25">
      <c r="A189" s="12"/>
      <c r="B189" s="12"/>
      <c r="C189" s="12"/>
      <c r="D189" s="19"/>
      <c r="E189" s="19"/>
      <c r="F189" s="12"/>
      <c r="G189" s="19"/>
      <c r="H189" s="12"/>
    </row>
    <row r="190" spans="1:8" ht="15" customHeight="1" x14ac:dyDescent="0.25">
      <c r="A190" s="12"/>
      <c r="B190" s="12"/>
      <c r="C190" s="12"/>
      <c r="D190" s="19"/>
      <c r="E190" s="19"/>
      <c r="F190" s="12"/>
      <c r="G190" s="19"/>
      <c r="H190" s="12"/>
    </row>
    <row r="191" spans="1:8" ht="15" customHeight="1" x14ac:dyDescent="0.25">
      <c r="A191" s="12"/>
      <c r="B191" s="12"/>
      <c r="C191" s="12"/>
      <c r="D191" s="19"/>
      <c r="E191" s="19"/>
      <c r="F191" s="12"/>
      <c r="G191" s="19"/>
      <c r="H191" s="12"/>
    </row>
    <row r="192" spans="1:8" ht="15" customHeight="1" x14ac:dyDescent="0.25">
      <c r="A192" s="12"/>
      <c r="B192" s="12"/>
      <c r="C192" s="12"/>
      <c r="D192" s="19"/>
      <c r="E192" s="19"/>
      <c r="F192" s="12"/>
      <c r="G192" s="19"/>
      <c r="H192" s="12"/>
    </row>
    <row r="193" spans="1:8" ht="15" customHeight="1" x14ac:dyDescent="0.25">
      <c r="A193" s="12"/>
      <c r="B193" s="12"/>
      <c r="C193" s="12"/>
      <c r="D193" s="19"/>
      <c r="E193" s="19"/>
      <c r="F193" s="12"/>
      <c r="G193" s="19"/>
      <c r="H193" s="12"/>
    </row>
    <row r="194" spans="1:8" ht="15" customHeight="1" x14ac:dyDescent="0.25">
      <c r="A194" s="12"/>
      <c r="B194" s="12"/>
      <c r="C194" s="12"/>
      <c r="D194" s="19"/>
      <c r="E194" s="19"/>
      <c r="F194" s="12"/>
      <c r="G194" s="19"/>
      <c r="H194" s="12"/>
    </row>
    <row r="195" spans="1:8" ht="15" customHeight="1" x14ac:dyDescent="0.25">
      <c r="A195" s="12"/>
      <c r="B195" s="12"/>
      <c r="C195" s="12"/>
      <c r="D195" s="19"/>
      <c r="E195" s="19"/>
      <c r="F195" s="12"/>
      <c r="G195" s="19"/>
      <c r="H195" s="12"/>
    </row>
    <row r="196" spans="1:8" ht="15" customHeight="1" x14ac:dyDescent="0.25">
      <c r="A196" s="12"/>
      <c r="B196" s="12"/>
      <c r="C196" s="12"/>
      <c r="D196" s="19"/>
      <c r="E196" s="19"/>
      <c r="F196" s="12"/>
      <c r="G196" s="19"/>
      <c r="H196" s="12"/>
    </row>
    <row r="197" spans="1:8" ht="15" customHeight="1" x14ac:dyDescent="0.25">
      <c r="A197" s="12"/>
      <c r="B197" s="12"/>
      <c r="C197" s="12"/>
      <c r="D197" s="19"/>
      <c r="E197" s="19"/>
      <c r="F197" s="12"/>
      <c r="G197" s="19"/>
      <c r="H197" s="12"/>
    </row>
    <row r="198" spans="1:8" ht="15" customHeight="1" x14ac:dyDescent="0.25">
      <c r="A198" s="12"/>
      <c r="B198" s="12"/>
      <c r="C198" s="12"/>
      <c r="D198" s="19"/>
      <c r="E198" s="19"/>
      <c r="F198" s="12"/>
      <c r="G198" s="19"/>
      <c r="H198" s="12"/>
    </row>
    <row r="199" spans="1:8" ht="15" customHeight="1" x14ac:dyDescent="0.25">
      <c r="A199" s="12"/>
      <c r="B199" s="12"/>
      <c r="C199" s="12"/>
      <c r="D199" s="19"/>
      <c r="E199" s="19"/>
      <c r="F199" s="12"/>
      <c r="G199" s="19"/>
      <c r="H199" s="12"/>
    </row>
    <row r="200" spans="1:8" ht="15" customHeight="1" x14ac:dyDescent="0.25">
      <c r="A200" s="12"/>
      <c r="B200" s="12"/>
      <c r="C200" s="12"/>
      <c r="D200" s="19"/>
      <c r="E200" s="19"/>
      <c r="F200" s="12"/>
      <c r="G200" s="19"/>
      <c r="H200" s="12"/>
    </row>
  </sheetData>
  <autoFilter ref="A1:H200" xr:uid="{00000000-0009-0000-0000-000006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ErrorMessage="1" error="Выберите значение из списка" xr:uid="{00000000-0002-0000-0600-000000000000}">
          <x14:formula1>
            <xm:f>Списки!$H$2:$H$6</xm:f>
          </x14:formula1>
          <x14:formula2>
            <xm:f>0</xm:f>
          </x14:formula2>
          <xm:sqref>D2:D200</xm:sqref>
        </x14:dataValidation>
        <x14:dataValidation type="list" allowBlank="1" showErrorMessage="1" error="Выберите значение из списка" xr:uid="{00000000-0002-0000-0600-000001000000}">
          <x14:formula1>
            <xm:f>Списки!$J$2:$J$3</xm:f>
          </x14:formula1>
          <x14:formula2>
            <xm:f>0</xm:f>
          </x14:formula2>
          <xm:sqref>G2:G200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0"/>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7109375" defaultRowHeight="15" x14ac:dyDescent="0.25"/>
  <cols>
    <col min="1" max="1" width="5" style="18" customWidth="1"/>
    <col min="2" max="2" width="14" style="18" customWidth="1"/>
    <col min="3" max="3" width="20" style="18" customWidth="1"/>
    <col min="4" max="4" width="52" style="18" customWidth="1"/>
    <col min="5" max="6" width="8" style="18" customWidth="1"/>
    <col min="7" max="8" width="17" style="18" customWidth="1"/>
    <col min="9" max="9" width="7" style="18" customWidth="1"/>
    <col min="10" max="10" width="8" style="18" customWidth="1"/>
    <col min="11" max="11" width="9" style="18" customWidth="1"/>
    <col min="12" max="12" width="7" style="18" customWidth="1"/>
    <col min="13" max="13" width="14" style="18" customWidth="1"/>
    <col min="14" max="15" width="20" style="18" customWidth="1"/>
    <col min="16" max="16" width="52" style="18" customWidth="1"/>
  </cols>
  <sheetData>
    <row r="1" spans="1:16" ht="42" customHeight="1" x14ac:dyDescent="0.25">
      <c r="A1" s="4" t="s">
        <v>32</v>
      </c>
      <c r="B1" s="4" t="s">
        <v>142</v>
      </c>
      <c r="C1" s="4" t="s">
        <v>1021</v>
      </c>
      <c r="D1" s="4" t="s">
        <v>1022</v>
      </c>
      <c r="E1" s="4" t="s">
        <v>1023</v>
      </c>
      <c r="F1" s="4" t="s">
        <v>1024</v>
      </c>
      <c r="G1" s="4" t="s">
        <v>144</v>
      </c>
      <c r="H1" s="4" t="s">
        <v>145</v>
      </c>
      <c r="I1" s="4" t="s">
        <v>1025</v>
      </c>
      <c r="J1" s="4" t="s">
        <v>1026</v>
      </c>
      <c r="K1" s="4" t="s">
        <v>57</v>
      </c>
      <c r="L1" s="4" t="s">
        <v>58</v>
      </c>
      <c r="M1" s="4" t="s">
        <v>7</v>
      </c>
      <c r="N1" s="4" t="s">
        <v>499</v>
      </c>
      <c r="O1" s="4" t="s">
        <v>1027</v>
      </c>
      <c r="P1" s="4" t="s">
        <v>1028</v>
      </c>
    </row>
    <row r="2" spans="1:16" ht="23.25" customHeight="1" x14ac:dyDescent="0.25">
      <c r="A2" s="19">
        <v>1</v>
      </c>
      <c r="B2" s="12" t="s">
        <v>1029</v>
      </c>
      <c r="C2" s="12" t="s">
        <v>1030</v>
      </c>
      <c r="D2" s="12" t="s">
        <v>1031</v>
      </c>
      <c r="E2" s="19">
        <v>0</v>
      </c>
      <c r="F2" s="19" t="s">
        <v>12</v>
      </c>
      <c r="G2" s="12" t="s">
        <v>170</v>
      </c>
      <c r="H2" s="12"/>
      <c r="I2" s="19">
        <v>1</v>
      </c>
      <c r="J2" s="19" t="s">
        <v>1032</v>
      </c>
      <c r="K2" s="19" t="s">
        <v>1032</v>
      </c>
      <c r="L2" s="19" t="s">
        <v>1032</v>
      </c>
      <c r="M2" s="12" t="s">
        <v>1033</v>
      </c>
      <c r="N2" s="12"/>
      <c r="O2" s="12" t="s">
        <v>1034</v>
      </c>
      <c r="P2" s="12" t="s">
        <v>1035</v>
      </c>
    </row>
    <row r="3" spans="1:16" ht="15" customHeight="1" x14ac:dyDescent="0.25">
      <c r="A3" s="19">
        <v>2</v>
      </c>
      <c r="B3" s="12" t="s">
        <v>1036</v>
      </c>
      <c r="C3" s="12" t="s">
        <v>1037</v>
      </c>
      <c r="D3" s="12" t="s">
        <v>1038</v>
      </c>
      <c r="E3" s="19">
        <v>1</v>
      </c>
      <c r="F3" s="19" t="s">
        <v>12</v>
      </c>
      <c r="G3" s="12" t="s">
        <v>180</v>
      </c>
      <c r="H3" s="12"/>
      <c r="I3" s="19">
        <v>2</v>
      </c>
      <c r="J3" s="19" t="s">
        <v>1039</v>
      </c>
      <c r="K3" s="19" t="s">
        <v>1032</v>
      </c>
      <c r="L3" s="19" t="s">
        <v>1032</v>
      </c>
      <c r="M3" s="12" t="s">
        <v>1033</v>
      </c>
      <c r="N3" s="12"/>
      <c r="O3" s="12" t="s">
        <v>1034</v>
      </c>
      <c r="P3" s="12"/>
    </row>
    <row r="4" spans="1:16" ht="15" customHeight="1" x14ac:dyDescent="0.25">
      <c r="A4" s="19">
        <v>3</v>
      </c>
      <c r="B4" s="12" t="s">
        <v>1040</v>
      </c>
      <c r="C4" s="12" t="s">
        <v>1041</v>
      </c>
      <c r="D4" s="12" t="s">
        <v>1042</v>
      </c>
      <c r="E4" s="19">
        <v>1</v>
      </c>
      <c r="F4" s="19" t="s">
        <v>12</v>
      </c>
      <c r="G4" s="12" t="s">
        <v>174</v>
      </c>
      <c r="H4" s="12"/>
      <c r="I4" s="19">
        <v>2</v>
      </c>
      <c r="J4" s="19" t="s">
        <v>1039</v>
      </c>
      <c r="K4" s="19" t="s">
        <v>1032</v>
      </c>
      <c r="L4" s="19" t="s">
        <v>1032</v>
      </c>
      <c r="M4" s="12" t="s">
        <v>1033</v>
      </c>
      <c r="N4" s="12"/>
      <c r="O4" s="12" t="s">
        <v>1034</v>
      </c>
      <c r="P4" s="12"/>
    </row>
    <row r="5" spans="1:16" ht="15" customHeight="1" x14ac:dyDescent="0.25">
      <c r="A5" s="19">
        <v>4</v>
      </c>
      <c r="B5" s="12" t="s">
        <v>1043</v>
      </c>
      <c r="C5" s="12" t="s">
        <v>1044</v>
      </c>
      <c r="D5" s="12" t="s">
        <v>1045</v>
      </c>
      <c r="E5" s="19">
        <v>1</v>
      </c>
      <c r="F5" s="19" t="s">
        <v>12</v>
      </c>
      <c r="G5" s="12" t="s">
        <v>173</v>
      </c>
      <c r="H5" s="12" t="s">
        <v>165</v>
      </c>
      <c r="I5" s="19">
        <v>1</v>
      </c>
      <c r="J5" s="19" t="s">
        <v>1032</v>
      </c>
      <c r="K5" s="19" t="s">
        <v>1032</v>
      </c>
      <c r="L5" s="19" t="s">
        <v>1032</v>
      </c>
      <c r="M5" s="12" t="s">
        <v>1033</v>
      </c>
      <c r="N5" s="12"/>
      <c r="O5" s="12" t="s">
        <v>1034</v>
      </c>
      <c r="P5" s="12"/>
    </row>
    <row r="6" spans="1:16" ht="15" customHeight="1" x14ac:dyDescent="0.25">
      <c r="A6" s="19">
        <v>5</v>
      </c>
      <c r="B6" s="12" t="s">
        <v>1046</v>
      </c>
      <c r="C6" s="12" t="s">
        <v>1047</v>
      </c>
      <c r="D6" s="12" t="s">
        <v>1048</v>
      </c>
      <c r="E6" s="19">
        <v>2</v>
      </c>
      <c r="F6" s="19" t="s">
        <v>12</v>
      </c>
      <c r="G6" s="12" t="s">
        <v>174</v>
      </c>
      <c r="H6" s="12"/>
      <c r="I6" s="19">
        <v>2</v>
      </c>
      <c r="J6" s="19" t="s">
        <v>1032</v>
      </c>
      <c r="K6" s="19" t="s">
        <v>1032</v>
      </c>
      <c r="L6" s="19" t="s">
        <v>1032</v>
      </c>
      <c r="M6" s="12" t="s">
        <v>1033</v>
      </c>
      <c r="N6" s="12"/>
      <c r="O6" s="12" t="s">
        <v>1034</v>
      </c>
      <c r="P6" s="12"/>
    </row>
    <row r="7" spans="1:16" ht="15" customHeight="1" x14ac:dyDescent="0.25">
      <c r="A7" s="19">
        <v>6</v>
      </c>
      <c r="B7" s="12" t="s">
        <v>1049</v>
      </c>
      <c r="C7" s="12" t="s">
        <v>1050</v>
      </c>
      <c r="D7" s="12" t="s">
        <v>1051</v>
      </c>
      <c r="E7" s="19">
        <v>3</v>
      </c>
      <c r="F7" s="19" t="s">
        <v>12</v>
      </c>
      <c r="G7" s="12" t="s">
        <v>180</v>
      </c>
      <c r="H7" s="12"/>
      <c r="I7" s="19">
        <v>3</v>
      </c>
      <c r="J7" s="19" t="s">
        <v>1039</v>
      </c>
      <c r="K7" s="19" t="s">
        <v>1039</v>
      </c>
      <c r="L7" s="19" t="s">
        <v>1039</v>
      </c>
      <c r="M7" s="12" t="s">
        <v>1033</v>
      </c>
      <c r="N7" s="12"/>
      <c r="O7" s="12" t="s">
        <v>1034</v>
      </c>
      <c r="P7" s="12" t="s">
        <v>1052</v>
      </c>
    </row>
    <row r="8" spans="1:16" ht="15" customHeight="1" x14ac:dyDescent="0.25">
      <c r="A8" s="19">
        <v>7</v>
      </c>
      <c r="B8" s="12" t="s">
        <v>1053</v>
      </c>
      <c r="C8" s="12" t="s">
        <v>1054</v>
      </c>
      <c r="D8" s="12" t="s">
        <v>1055</v>
      </c>
      <c r="E8" s="19">
        <v>3</v>
      </c>
      <c r="F8" s="19" t="s">
        <v>12</v>
      </c>
      <c r="G8" s="12" t="s">
        <v>180</v>
      </c>
      <c r="H8" s="12"/>
      <c r="I8" s="19">
        <v>3</v>
      </c>
      <c r="J8" s="19" t="s">
        <v>1039</v>
      </c>
      <c r="K8" s="19" t="s">
        <v>1032</v>
      </c>
      <c r="L8" s="19" t="s">
        <v>1032</v>
      </c>
      <c r="M8" s="12" t="s">
        <v>1033</v>
      </c>
      <c r="N8" s="12"/>
      <c r="O8" s="12" t="s">
        <v>1034</v>
      </c>
      <c r="P8" s="12"/>
    </row>
    <row r="9" spans="1:16" ht="15" customHeight="1" x14ac:dyDescent="0.25">
      <c r="A9" s="19">
        <v>8</v>
      </c>
      <c r="B9" s="12" t="s">
        <v>1056</v>
      </c>
      <c r="C9" s="12" t="s">
        <v>1057</v>
      </c>
      <c r="D9" s="12" t="s">
        <v>1058</v>
      </c>
      <c r="E9" s="19" t="s">
        <v>1059</v>
      </c>
      <c r="F9" s="19" t="s">
        <v>12</v>
      </c>
      <c r="G9" s="12" t="s">
        <v>180</v>
      </c>
      <c r="H9" s="12"/>
      <c r="I9" s="19">
        <v>2</v>
      </c>
      <c r="J9" s="19" t="s">
        <v>1032</v>
      </c>
      <c r="K9" s="19" t="s">
        <v>1032</v>
      </c>
      <c r="L9" s="19" t="s">
        <v>1032</v>
      </c>
      <c r="M9" s="12" t="s">
        <v>1033</v>
      </c>
      <c r="N9" s="12"/>
      <c r="O9" s="12" t="s">
        <v>1034</v>
      </c>
      <c r="P9" s="12" t="s">
        <v>1060</v>
      </c>
    </row>
    <row r="10" spans="1:16" ht="15" customHeight="1" x14ac:dyDescent="0.25">
      <c r="A10" s="19">
        <v>9</v>
      </c>
      <c r="B10" s="12" t="s">
        <v>1061</v>
      </c>
      <c r="C10" s="12" t="s">
        <v>1062</v>
      </c>
      <c r="D10" s="12" t="s">
        <v>1063</v>
      </c>
      <c r="E10" s="19">
        <v>4</v>
      </c>
      <c r="F10" s="19" t="s">
        <v>62</v>
      </c>
      <c r="G10" s="12" t="s">
        <v>180</v>
      </c>
      <c r="H10" s="12" t="s">
        <v>174</v>
      </c>
      <c r="I10" s="19">
        <v>3</v>
      </c>
      <c r="J10" s="19" t="s">
        <v>1032</v>
      </c>
      <c r="K10" s="19" t="s">
        <v>1032</v>
      </c>
      <c r="L10" s="19" t="s">
        <v>1032</v>
      </c>
      <c r="M10" s="12" t="s">
        <v>1064</v>
      </c>
      <c r="N10" s="12" t="s">
        <v>102</v>
      </c>
      <c r="O10" s="12" t="s">
        <v>1034</v>
      </c>
      <c r="P10" s="12" t="s">
        <v>1065</v>
      </c>
    </row>
    <row r="11" spans="1:16" ht="15" customHeight="1" x14ac:dyDescent="0.25">
      <c r="A11" s="19">
        <v>10</v>
      </c>
      <c r="B11" s="12" t="s">
        <v>1066</v>
      </c>
      <c r="C11" s="12" t="s">
        <v>1067</v>
      </c>
      <c r="D11" s="12" t="s">
        <v>1068</v>
      </c>
      <c r="E11" s="19">
        <v>4</v>
      </c>
      <c r="F11" s="19" t="s">
        <v>62</v>
      </c>
      <c r="G11" s="12" t="s">
        <v>165</v>
      </c>
      <c r="H11" s="12"/>
      <c r="I11" s="19">
        <v>3</v>
      </c>
      <c r="J11" s="19" t="s">
        <v>1039</v>
      </c>
      <c r="K11" s="19" t="s">
        <v>1039</v>
      </c>
      <c r="L11" s="19" t="s">
        <v>1032</v>
      </c>
      <c r="M11" s="12" t="s">
        <v>1033</v>
      </c>
      <c r="N11" s="12"/>
      <c r="O11" s="12" t="s">
        <v>1034</v>
      </c>
      <c r="P11" s="12" t="s">
        <v>1069</v>
      </c>
    </row>
    <row r="12" spans="1:16" ht="15" customHeight="1" x14ac:dyDescent="0.25">
      <c r="A12" s="19">
        <v>11</v>
      </c>
      <c r="B12" s="12" t="s">
        <v>1070</v>
      </c>
      <c r="C12" s="12" t="s">
        <v>1071</v>
      </c>
      <c r="D12" s="12" t="s">
        <v>1072</v>
      </c>
      <c r="E12" s="19">
        <v>4</v>
      </c>
      <c r="F12" s="19" t="s">
        <v>62</v>
      </c>
      <c r="G12" s="12" t="s">
        <v>165</v>
      </c>
      <c r="H12" s="12"/>
      <c r="I12" s="19">
        <v>3</v>
      </c>
      <c r="J12" s="19" t="s">
        <v>1032</v>
      </c>
      <c r="K12" s="19" t="s">
        <v>1032</v>
      </c>
      <c r="L12" s="19" t="s">
        <v>1032</v>
      </c>
      <c r="M12" s="12" t="s">
        <v>1033</v>
      </c>
      <c r="N12" s="12"/>
      <c r="O12" s="12" t="s">
        <v>1034</v>
      </c>
      <c r="P12" s="12"/>
    </row>
    <row r="13" spans="1:16" ht="15" customHeight="1" x14ac:dyDescent="0.25">
      <c r="A13" s="19">
        <v>12</v>
      </c>
      <c r="B13" s="12" t="s">
        <v>1073</v>
      </c>
      <c r="C13" s="12" t="s">
        <v>1074</v>
      </c>
      <c r="D13" s="12" t="s">
        <v>1075</v>
      </c>
      <c r="E13" s="19">
        <v>4</v>
      </c>
      <c r="F13" s="19" t="s">
        <v>62</v>
      </c>
      <c r="G13" s="12" t="s">
        <v>165</v>
      </c>
      <c r="H13" s="12"/>
      <c r="I13" s="19">
        <v>3</v>
      </c>
      <c r="J13" s="19" t="s">
        <v>1039</v>
      </c>
      <c r="K13" s="19" t="s">
        <v>1032</v>
      </c>
      <c r="L13" s="19" t="s">
        <v>1032</v>
      </c>
      <c r="M13" s="12" t="s">
        <v>1033</v>
      </c>
      <c r="N13" s="12"/>
      <c r="O13" s="12" t="s">
        <v>1034</v>
      </c>
      <c r="P13" s="12"/>
    </row>
    <row r="14" spans="1:16" ht="15" customHeight="1" x14ac:dyDescent="0.25">
      <c r="A14" s="19">
        <v>13</v>
      </c>
      <c r="B14" s="12" t="s">
        <v>1076</v>
      </c>
      <c r="C14" s="12" t="s">
        <v>1054</v>
      </c>
      <c r="D14" s="12" t="s">
        <v>1077</v>
      </c>
      <c r="E14" s="19">
        <v>4</v>
      </c>
      <c r="F14" s="19" t="s">
        <v>62</v>
      </c>
      <c r="G14" s="12" t="s">
        <v>170</v>
      </c>
      <c r="H14" s="12"/>
      <c r="I14" s="19">
        <v>1</v>
      </c>
      <c r="J14" s="19" t="s">
        <v>1032</v>
      </c>
      <c r="K14" s="19" t="s">
        <v>1032</v>
      </c>
      <c r="L14" s="19" t="s">
        <v>1032</v>
      </c>
      <c r="M14" s="12" t="s">
        <v>1064</v>
      </c>
      <c r="N14" s="12" t="s">
        <v>67</v>
      </c>
      <c r="O14" s="12" t="s">
        <v>1034</v>
      </c>
      <c r="P14" s="12" t="s">
        <v>1078</v>
      </c>
    </row>
    <row r="15" spans="1:16" ht="23.25" customHeight="1" x14ac:dyDescent="0.25">
      <c r="A15" s="19">
        <v>14</v>
      </c>
      <c r="B15" s="12" t="s">
        <v>1079</v>
      </c>
      <c r="C15" s="12" t="s">
        <v>1080</v>
      </c>
      <c r="D15" s="12" t="s">
        <v>1081</v>
      </c>
      <c r="E15" s="19">
        <v>4</v>
      </c>
      <c r="F15" s="19" t="s">
        <v>62</v>
      </c>
      <c r="G15" s="12" t="s">
        <v>165</v>
      </c>
      <c r="H15" s="12"/>
      <c r="I15" s="19">
        <v>2</v>
      </c>
      <c r="J15" s="19" t="s">
        <v>1032</v>
      </c>
      <c r="K15" s="19" t="s">
        <v>1039</v>
      </c>
      <c r="L15" s="19" t="s">
        <v>1032</v>
      </c>
      <c r="M15" s="12" t="s">
        <v>1033</v>
      </c>
      <c r="N15" s="12"/>
      <c r="O15" s="12" t="s">
        <v>1034</v>
      </c>
      <c r="P15" s="12" t="s">
        <v>1082</v>
      </c>
    </row>
    <row r="16" spans="1:16" ht="15" customHeight="1" x14ac:dyDescent="0.25">
      <c r="A16" s="19">
        <v>15</v>
      </c>
      <c r="B16" s="12" t="s">
        <v>1083</v>
      </c>
      <c r="C16" s="12" t="s">
        <v>1084</v>
      </c>
      <c r="D16" s="12" t="s">
        <v>1085</v>
      </c>
      <c r="E16" s="19">
        <v>4</v>
      </c>
      <c r="F16" s="19" t="s">
        <v>62</v>
      </c>
      <c r="G16" s="12" t="s">
        <v>180</v>
      </c>
      <c r="H16" s="12"/>
      <c r="I16" s="19">
        <v>2</v>
      </c>
      <c r="J16" s="19" t="s">
        <v>1032</v>
      </c>
      <c r="K16" s="19" t="s">
        <v>1039</v>
      </c>
      <c r="L16" s="19" t="s">
        <v>1032</v>
      </c>
      <c r="M16" s="12" t="s">
        <v>1033</v>
      </c>
      <c r="N16" s="12"/>
      <c r="O16" s="12" t="s">
        <v>1034</v>
      </c>
      <c r="P16" s="12"/>
    </row>
    <row r="17" spans="1:16" ht="15" customHeight="1" x14ac:dyDescent="0.25">
      <c r="A17" s="19">
        <v>16</v>
      </c>
      <c r="B17" s="12" t="s">
        <v>1086</v>
      </c>
      <c r="C17" s="12" t="s">
        <v>1054</v>
      </c>
      <c r="D17" s="12" t="s">
        <v>1087</v>
      </c>
      <c r="E17" s="19">
        <v>5</v>
      </c>
      <c r="F17" s="19" t="s">
        <v>12</v>
      </c>
      <c r="G17" s="12" t="s">
        <v>180</v>
      </c>
      <c r="H17" s="12"/>
      <c r="I17" s="19">
        <v>3</v>
      </c>
      <c r="J17" s="19" t="s">
        <v>1032</v>
      </c>
      <c r="K17" s="19" t="s">
        <v>1032</v>
      </c>
      <c r="L17" s="19" t="s">
        <v>1032</v>
      </c>
      <c r="M17" s="12" t="s">
        <v>1033</v>
      </c>
      <c r="N17" s="12"/>
      <c r="O17" s="12" t="s">
        <v>1034</v>
      </c>
      <c r="P17" s="12"/>
    </row>
    <row r="18" spans="1:16" ht="15" customHeight="1" x14ac:dyDescent="0.25">
      <c r="A18" s="19">
        <v>17</v>
      </c>
      <c r="B18" s="12" t="s">
        <v>1088</v>
      </c>
      <c r="C18" s="12" t="s">
        <v>1089</v>
      </c>
      <c r="D18" s="12" t="s">
        <v>1090</v>
      </c>
      <c r="E18" s="19">
        <v>5</v>
      </c>
      <c r="F18" s="19" t="s">
        <v>12</v>
      </c>
      <c r="G18" s="12" t="s">
        <v>173</v>
      </c>
      <c r="H18" s="12"/>
      <c r="I18" s="19">
        <v>1</v>
      </c>
      <c r="J18" s="19" t="s">
        <v>1032</v>
      </c>
      <c r="K18" s="19" t="s">
        <v>1032</v>
      </c>
      <c r="L18" s="19" t="s">
        <v>1032</v>
      </c>
      <c r="M18" s="12" t="s">
        <v>1033</v>
      </c>
      <c r="N18" s="12"/>
      <c r="O18" s="12" t="s">
        <v>1034</v>
      </c>
      <c r="P18" s="12" t="s">
        <v>1091</v>
      </c>
    </row>
    <row r="19" spans="1:16" ht="15" customHeight="1" x14ac:dyDescent="0.25">
      <c r="A19" s="19">
        <v>18</v>
      </c>
      <c r="B19" s="12" t="s">
        <v>1092</v>
      </c>
      <c r="C19" s="12" t="s">
        <v>1054</v>
      </c>
      <c r="D19" s="12" t="s">
        <v>1093</v>
      </c>
      <c r="E19" s="19">
        <v>6</v>
      </c>
      <c r="F19" s="19" t="s">
        <v>62</v>
      </c>
      <c r="G19" s="12" t="s">
        <v>170</v>
      </c>
      <c r="H19" s="12"/>
      <c r="I19" s="19">
        <v>3</v>
      </c>
      <c r="J19" s="19" t="s">
        <v>1032</v>
      </c>
      <c r="K19" s="19" t="s">
        <v>1032</v>
      </c>
      <c r="L19" s="19" t="s">
        <v>1032</v>
      </c>
      <c r="M19" s="12" t="s">
        <v>1064</v>
      </c>
      <c r="N19" s="12" t="s">
        <v>107</v>
      </c>
      <c r="O19" s="12" t="s">
        <v>1034</v>
      </c>
      <c r="P19" s="12"/>
    </row>
    <row r="20" spans="1:16" ht="15" customHeight="1" x14ac:dyDescent="0.25">
      <c r="A20" s="19">
        <v>19</v>
      </c>
      <c r="B20" s="12" t="s">
        <v>1094</v>
      </c>
      <c r="C20" s="12" t="s">
        <v>1095</v>
      </c>
      <c r="D20" s="12" t="s">
        <v>1096</v>
      </c>
      <c r="E20" s="19">
        <v>6</v>
      </c>
      <c r="F20" s="19" t="s">
        <v>62</v>
      </c>
      <c r="G20" s="12" t="s">
        <v>165</v>
      </c>
      <c r="H20" s="12"/>
      <c r="I20" s="19">
        <v>2</v>
      </c>
      <c r="J20" s="19" t="s">
        <v>1032</v>
      </c>
      <c r="K20" s="19" t="s">
        <v>1032</v>
      </c>
      <c r="L20" s="19" t="s">
        <v>1039</v>
      </c>
      <c r="M20" s="12" t="s">
        <v>1033</v>
      </c>
      <c r="N20" s="12"/>
      <c r="O20" s="12" t="s">
        <v>1034</v>
      </c>
      <c r="P20" s="12"/>
    </row>
    <row r="21" spans="1:16" ht="15" customHeight="1" x14ac:dyDescent="0.25">
      <c r="A21" s="19">
        <v>20</v>
      </c>
      <c r="B21" s="12" t="s">
        <v>1097</v>
      </c>
      <c r="C21" s="12" t="s">
        <v>1054</v>
      </c>
      <c r="D21" s="12" t="s">
        <v>1098</v>
      </c>
      <c r="E21" s="19">
        <v>7</v>
      </c>
      <c r="F21" s="19" t="s">
        <v>12</v>
      </c>
      <c r="G21" s="12" t="s">
        <v>180</v>
      </c>
      <c r="H21" s="12"/>
      <c r="I21" s="19">
        <v>3</v>
      </c>
      <c r="J21" s="19" t="s">
        <v>1039</v>
      </c>
      <c r="K21" s="19" t="s">
        <v>1039</v>
      </c>
      <c r="L21" s="19" t="s">
        <v>1032</v>
      </c>
      <c r="M21" s="12" t="s">
        <v>1033</v>
      </c>
      <c r="N21" s="12"/>
      <c r="O21" s="12" t="s">
        <v>1034</v>
      </c>
      <c r="P21" s="12"/>
    </row>
    <row r="22" spans="1:16" ht="15" customHeight="1" x14ac:dyDescent="0.25">
      <c r="A22" s="19">
        <v>21</v>
      </c>
      <c r="B22" s="12" t="s">
        <v>1099</v>
      </c>
      <c r="C22" s="12" t="s">
        <v>1100</v>
      </c>
      <c r="D22" s="12" t="s">
        <v>1101</v>
      </c>
      <c r="E22" s="19">
        <v>8</v>
      </c>
      <c r="F22" s="19" t="s">
        <v>12</v>
      </c>
      <c r="G22" s="12" t="s">
        <v>174</v>
      </c>
      <c r="H22" s="12"/>
      <c r="I22" s="19">
        <v>2</v>
      </c>
      <c r="J22" s="19" t="s">
        <v>1032</v>
      </c>
      <c r="K22" s="19" t="s">
        <v>1039</v>
      </c>
      <c r="L22" s="19" t="s">
        <v>1032</v>
      </c>
      <c r="M22" s="12" t="s">
        <v>1033</v>
      </c>
      <c r="N22" s="12"/>
      <c r="O22" s="12" t="s">
        <v>1034</v>
      </c>
      <c r="P22" s="12" t="s">
        <v>1102</v>
      </c>
    </row>
    <row r="23" spans="1:16" ht="15" customHeight="1" x14ac:dyDescent="0.25">
      <c r="A23" s="19">
        <v>22</v>
      </c>
      <c r="B23" s="12" t="s">
        <v>1103</v>
      </c>
      <c r="C23" s="12" t="s">
        <v>1054</v>
      </c>
      <c r="D23" s="12" t="s">
        <v>1104</v>
      </c>
      <c r="E23" s="19">
        <v>8</v>
      </c>
      <c r="F23" s="19" t="s">
        <v>62</v>
      </c>
      <c r="G23" s="12" t="s">
        <v>180</v>
      </c>
      <c r="H23" s="12"/>
      <c r="I23" s="19">
        <v>3</v>
      </c>
      <c r="J23" s="19" t="s">
        <v>1032</v>
      </c>
      <c r="K23" s="19" t="s">
        <v>1032</v>
      </c>
      <c r="L23" s="19" t="s">
        <v>1032</v>
      </c>
      <c r="M23" s="12" t="s">
        <v>1033</v>
      </c>
      <c r="N23" s="12"/>
      <c r="O23" s="12" t="s">
        <v>1034</v>
      </c>
      <c r="P23" s="12" t="s">
        <v>1105</v>
      </c>
    </row>
    <row r="24" spans="1:16" ht="15" customHeight="1" x14ac:dyDescent="0.25">
      <c r="A24" s="19">
        <v>23</v>
      </c>
      <c r="B24" s="12" t="s">
        <v>1106</v>
      </c>
      <c r="C24" s="12" t="s">
        <v>1107</v>
      </c>
      <c r="D24" s="12" t="s">
        <v>1108</v>
      </c>
      <c r="E24" s="19">
        <v>9</v>
      </c>
      <c r="F24" s="19" t="s">
        <v>12</v>
      </c>
      <c r="G24" s="12" t="s">
        <v>174</v>
      </c>
      <c r="H24" s="12"/>
      <c r="I24" s="19">
        <v>2</v>
      </c>
      <c r="J24" s="19" t="s">
        <v>1109</v>
      </c>
      <c r="K24" s="19" t="s">
        <v>1039</v>
      </c>
      <c r="L24" s="19" t="s">
        <v>1032</v>
      </c>
      <c r="M24" s="12" t="s">
        <v>1033</v>
      </c>
      <c r="N24" s="12"/>
      <c r="O24" s="12" t="s">
        <v>1034</v>
      </c>
      <c r="P24" s="12"/>
    </row>
    <row r="25" spans="1:16" ht="23.25" customHeight="1" x14ac:dyDescent="0.25">
      <c r="A25" s="19">
        <v>24</v>
      </c>
      <c r="B25" s="12" t="s">
        <v>1110</v>
      </c>
      <c r="C25" s="12" t="s">
        <v>1054</v>
      </c>
      <c r="D25" s="12" t="s">
        <v>1111</v>
      </c>
      <c r="E25" s="19">
        <v>4</v>
      </c>
      <c r="F25" s="19" t="s">
        <v>62</v>
      </c>
      <c r="G25" s="12" t="s">
        <v>173</v>
      </c>
      <c r="H25" s="12" t="s">
        <v>165</v>
      </c>
      <c r="I25" s="19">
        <v>1</v>
      </c>
      <c r="J25" s="19" t="s">
        <v>1059</v>
      </c>
      <c r="K25" s="19" t="s">
        <v>1059</v>
      </c>
      <c r="L25" s="19" t="s">
        <v>1059</v>
      </c>
      <c r="M25" s="12" t="s">
        <v>1033</v>
      </c>
      <c r="N25" s="12"/>
      <c r="O25" s="12" t="s">
        <v>1112</v>
      </c>
      <c r="P25" s="12" t="s">
        <v>1113</v>
      </c>
    </row>
    <row r="26" spans="1:16" ht="23.25" customHeight="1" x14ac:dyDescent="0.25">
      <c r="A26" s="19">
        <v>25</v>
      </c>
      <c r="B26" s="12" t="s">
        <v>1110</v>
      </c>
      <c r="C26" s="12" t="s">
        <v>1114</v>
      </c>
      <c r="D26" s="12" t="s">
        <v>1115</v>
      </c>
      <c r="E26" s="19">
        <v>4</v>
      </c>
      <c r="F26" s="19" t="s">
        <v>62</v>
      </c>
      <c r="G26" s="12" t="s">
        <v>173</v>
      </c>
      <c r="H26" s="12" t="s">
        <v>165</v>
      </c>
      <c r="I26" s="19">
        <v>1</v>
      </c>
      <c r="J26" s="19" t="s">
        <v>1059</v>
      </c>
      <c r="K26" s="19" t="s">
        <v>1059</v>
      </c>
      <c r="L26" s="19" t="s">
        <v>1059</v>
      </c>
      <c r="M26" s="12" t="s">
        <v>1033</v>
      </c>
      <c r="N26" s="12"/>
      <c r="O26" s="12" t="s">
        <v>1112</v>
      </c>
      <c r="P26" s="12" t="s">
        <v>1116</v>
      </c>
    </row>
    <row r="27" spans="1:16" ht="23.25" customHeight="1" x14ac:dyDescent="0.25">
      <c r="A27" s="19">
        <v>26</v>
      </c>
      <c r="B27" s="12" t="s">
        <v>1103</v>
      </c>
      <c r="C27" s="12" t="s">
        <v>1054</v>
      </c>
      <c r="D27" s="12" t="s">
        <v>1117</v>
      </c>
      <c r="E27" s="19">
        <v>8</v>
      </c>
      <c r="F27" s="19" t="s">
        <v>62</v>
      </c>
      <c r="G27" s="12" t="s">
        <v>174</v>
      </c>
      <c r="H27" s="12" t="s">
        <v>180</v>
      </c>
      <c r="I27" s="19">
        <v>1</v>
      </c>
      <c r="J27" s="19" t="s">
        <v>1059</v>
      </c>
      <c r="K27" s="19" t="s">
        <v>1059</v>
      </c>
      <c r="L27" s="19" t="s">
        <v>1059</v>
      </c>
      <c r="M27" s="12" t="s">
        <v>1033</v>
      </c>
      <c r="N27" s="12"/>
      <c r="O27" s="12" t="s">
        <v>1112</v>
      </c>
      <c r="P27" s="12" t="s">
        <v>1118</v>
      </c>
    </row>
    <row r="28" spans="1:16" ht="23.25" customHeight="1" x14ac:dyDescent="0.25">
      <c r="A28" s="19">
        <v>27</v>
      </c>
      <c r="B28" s="12" t="s">
        <v>28</v>
      </c>
      <c r="C28" s="12" t="s">
        <v>28</v>
      </c>
      <c r="D28" s="12" t="s">
        <v>1119</v>
      </c>
      <c r="E28" s="19" t="s">
        <v>1059</v>
      </c>
      <c r="F28" s="19" t="s">
        <v>12</v>
      </c>
      <c r="G28" s="12" t="s">
        <v>170</v>
      </c>
      <c r="H28" s="12"/>
      <c r="I28" s="19">
        <v>1</v>
      </c>
      <c r="J28" s="19" t="s">
        <v>1059</v>
      </c>
      <c r="K28" s="19" t="s">
        <v>1059</v>
      </c>
      <c r="L28" s="19" t="s">
        <v>1059</v>
      </c>
      <c r="M28" s="12" t="s">
        <v>1033</v>
      </c>
      <c r="N28" s="12"/>
      <c r="O28" s="12" t="s">
        <v>1112</v>
      </c>
      <c r="P28" s="12" t="s">
        <v>1120</v>
      </c>
    </row>
    <row r="29" spans="1:16" ht="15" customHeight="1" x14ac:dyDescent="0.25">
      <c r="A29" s="19">
        <v>28</v>
      </c>
      <c r="B29" s="12" t="s">
        <v>1121</v>
      </c>
      <c r="C29" s="12" t="s">
        <v>1054</v>
      </c>
      <c r="D29" s="12" t="s">
        <v>1122</v>
      </c>
      <c r="E29" s="19">
        <v>4</v>
      </c>
      <c r="F29" s="19" t="s">
        <v>62</v>
      </c>
      <c r="G29" s="12" t="s">
        <v>165</v>
      </c>
      <c r="H29" s="12"/>
      <c r="I29" s="19">
        <v>1</v>
      </c>
      <c r="J29" s="19" t="s">
        <v>1032</v>
      </c>
      <c r="K29" s="19" t="s">
        <v>1032</v>
      </c>
      <c r="L29" s="19" t="s">
        <v>1039</v>
      </c>
      <c r="M29" s="12" t="s">
        <v>1064</v>
      </c>
      <c r="N29" s="12" t="s">
        <v>61</v>
      </c>
      <c r="O29" s="12" t="s">
        <v>1123</v>
      </c>
      <c r="P29" s="12" t="s">
        <v>1124</v>
      </c>
    </row>
    <row r="30" spans="1:16" ht="15" customHeight="1" x14ac:dyDescent="0.25">
      <c r="A30" s="19">
        <v>29</v>
      </c>
      <c r="B30" s="12" t="s">
        <v>1066</v>
      </c>
      <c r="C30" s="12" t="s">
        <v>1125</v>
      </c>
      <c r="D30" s="12" t="s">
        <v>1126</v>
      </c>
      <c r="E30" s="19">
        <v>4</v>
      </c>
      <c r="F30" s="19" t="s">
        <v>62</v>
      </c>
      <c r="G30" s="12" t="s">
        <v>173</v>
      </c>
      <c r="H30" s="12" t="s">
        <v>174</v>
      </c>
      <c r="I30" s="19">
        <v>1</v>
      </c>
      <c r="J30" s="19" t="s">
        <v>1032</v>
      </c>
      <c r="K30" s="19" t="s">
        <v>1032</v>
      </c>
      <c r="L30" s="19" t="s">
        <v>1039</v>
      </c>
      <c r="M30" s="12" t="s">
        <v>1064</v>
      </c>
      <c r="N30" s="12" t="s">
        <v>72</v>
      </c>
      <c r="O30" s="12" t="s">
        <v>1123</v>
      </c>
      <c r="P30" s="12" t="s">
        <v>1127</v>
      </c>
    </row>
    <row r="31" spans="1:16" ht="15" customHeight="1" x14ac:dyDescent="0.25">
      <c r="A31" s="19">
        <v>30</v>
      </c>
      <c r="B31" s="12" t="s">
        <v>1128</v>
      </c>
      <c r="C31" s="12" t="s">
        <v>1129</v>
      </c>
      <c r="D31" s="12" t="s">
        <v>1130</v>
      </c>
      <c r="E31" s="19">
        <v>4</v>
      </c>
      <c r="F31" s="19" t="s">
        <v>62</v>
      </c>
      <c r="G31" s="12" t="s">
        <v>170</v>
      </c>
      <c r="H31" s="12"/>
      <c r="I31" s="19">
        <v>1</v>
      </c>
      <c r="J31" s="19" t="s">
        <v>1032</v>
      </c>
      <c r="K31" s="19" t="s">
        <v>1032</v>
      </c>
      <c r="L31" s="19" t="s">
        <v>1032</v>
      </c>
      <c r="M31" s="12" t="s">
        <v>1064</v>
      </c>
      <c r="N31" s="12" t="s">
        <v>92</v>
      </c>
      <c r="O31" s="12" t="s">
        <v>1123</v>
      </c>
      <c r="P31" s="12" t="s">
        <v>1131</v>
      </c>
    </row>
    <row r="32" spans="1:16" ht="15" customHeight="1" x14ac:dyDescent="0.25">
      <c r="A32" s="19">
        <v>31</v>
      </c>
      <c r="B32" s="12" t="s">
        <v>1132</v>
      </c>
      <c r="C32" s="12" t="s">
        <v>1054</v>
      </c>
      <c r="D32" s="12" t="s">
        <v>1133</v>
      </c>
      <c r="E32" s="19">
        <v>6</v>
      </c>
      <c r="F32" s="19" t="s">
        <v>62</v>
      </c>
      <c r="G32" s="12" t="s">
        <v>173</v>
      </c>
      <c r="H32" s="12" t="s">
        <v>174</v>
      </c>
      <c r="I32" s="19">
        <v>1</v>
      </c>
      <c r="J32" s="19" t="s">
        <v>1032</v>
      </c>
      <c r="K32" s="19" t="s">
        <v>1059</v>
      </c>
      <c r="L32" s="19" t="s">
        <v>1032</v>
      </c>
      <c r="M32" s="12" t="s">
        <v>1064</v>
      </c>
      <c r="N32" s="12" t="s">
        <v>82</v>
      </c>
      <c r="O32" s="12" t="s">
        <v>1134</v>
      </c>
      <c r="P32" s="12" t="s">
        <v>1135</v>
      </c>
    </row>
    <row r="33" spans="1:16" ht="15" customHeight="1" x14ac:dyDescent="0.25">
      <c r="A33" s="19">
        <v>32</v>
      </c>
      <c r="B33" s="12" t="s">
        <v>1136</v>
      </c>
      <c r="C33" s="12" t="s">
        <v>1125</v>
      </c>
      <c r="D33" s="12" t="s">
        <v>1137</v>
      </c>
      <c r="E33" s="19">
        <v>6</v>
      </c>
      <c r="F33" s="19" t="s">
        <v>62</v>
      </c>
      <c r="G33" s="12" t="s">
        <v>173</v>
      </c>
      <c r="H33" s="12" t="s">
        <v>180</v>
      </c>
      <c r="I33" s="19">
        <v>2</v>
      </c>
      <c r="J33" s="19" t="s">
        <v>1032</v>
      </c>
      <c r="K33" s="19" t="s">
        <v>1059</v>
      </c>
      <c r="L33" s="19" t="s">
        <v>1039</v>
      </c>
      <c r="M33" s="12" t="s">
        <v>1064</v>
      </c>
      <c r="N33" s="12" t="s">
        <v>118</v>
      </c>
      <c r="O33" s="12" t="s">
        <v>1134</v>
      </c>
      <c r="P33" s="12" t="s">
        <v>1138</v>
      </c>
    </row>
    <row r="34" spans="1:16" ht="15" customHeight="1" x14ac:dyDescent="0.25">
      <c r="A34" s="19">
        <v>33</v>
      </c>
      <c r="B34" s="12" t="s">
        <v>1139</v>
      </c>
      <c r="C34" s="12" t="s">
        <v>1140</v>
      </c>
      <c r="D34" s="12" t="s">
        <v>1141</v>
      </c>
      <c r="E34" s="19">
        <v>6</v>
      </c>
      <c r="F34" s="19" t="s">
        <v>62</v>
      </c>
      <c r="G34" s="12" t="s">
        <v>180</v>
      </c>
      <c r="H34" s="12"/>
      <c r="I34" s="19">
        <v>2</v>
      </c>
      <c r="J34" s="19" t="s">
        <v>1032</v>
      </c>
      <c r="K34" s="19" t="s">
        <v>1059</v>
      </c>
      <c r="L34" s="19" t="s">
        <v>1039</v>
      </c>
      <c r="M34" s="12" t="s">
        <v>1064</v>
      </c>
      <c r="N34" s="12" t="s">
        <v>77</v>
      </c>
      <c r="O34" s="12" t="s">
        <v>1134</v>
      </c>
      <c r="P34" s="12" t="s">
        <v>1142</v>
      </c>
    </row>
    <row r="35" spans="1:16" ht="15" customHeight="1" x14ac:dyDescent="0.25">
      <c r="A35" s="19">
        <v>34</v>
      </c>
      <c r="B35" s="12" t="s">
        <v>1143</v>
      </c>
      <c r="C35" s="12" t="s">
        <v>1144</v>
      </c>
      <c r="D35" s="12" t="s">
        <v>1145</v>
      </c>
      <c r="E35" s="19">
        <v>6</v>
      </c>
      <c r="F35" s="19" t="s">
        <v>62</v>
      </c>
      <c r="G35" s="12" t="s">
        <v>180</v>
      </c>
      <c r="H35" s="12" t="s">
        <v>174</v>
      </c>
      <c r="I35" s="19">
        <v>3</v>
      </c>
      <c r="J35" s="19" t="s">
        <v>1032</v>
      </c>
      <c r="K35" s="19" t="s">
        <v>1059</v>
      </c>
      <c r="L35" s="19" t="s">
        <v>1039</v>
      </c>
      <c r="M35" s="12" t="s">
        <v>1064</v>
      </c>
      <c r="N35" s="12" t="s">
        <v>97</v>
      </c>
      <c r="O35" s="12" t="s">
        <v>1134</v>
      </c>
      <c r="P35" s="12" t="s">
        <v>1146</v>
      </c>
    </row>
    <row r="36" spans="1:16" ht="15" customHeight="1" x14ac:dyDescent="0.25">
      <c r="A36" s="19">
        <v>35</v>
      </c>
      <c r="B36" s="12" t="s">
        <v>1147</v>
      </c>
      <c r="C36" s="12" t="s">
        <v>1125</v>
      </c>
      <c r="D36" s="12" t="s">
        <v>1148</v>
      </c>
      <c r="E36" s="19">
        <v>6</v>
      </c>
      <c r="F36" s="19" t="s">
        <v>62</v>
      </c>
      <c r="G36" s="12" t="s">
        <v>174</v>
      </c>
      <c r="H36" s="12"/>
      <c r="I36" s="19">
        <v>2</v>
      </c>
      <c r="J36" s="19" t="s">
        <v>1032</v>
      </c>
      <c r="K36" s="19" t="s">
        <v>1059</v>
      </c>
      <c r="L36" s="19" t="s">
        <v>1032</v>
      </c>
      <c r="M36" s="12" t="s">
        <v>1064</v>
      </c>
      <c r="N36" s="12" t="s">
        <v>113</v>
      </c>
      <c r="O36" s="12" t="s">
        <v>1134</v>
      </c>
      <c r="P36" s="12" t="s">
        <v>1149</v>
      </c>
    </row>
    <row r="37" spans="1:16" ht="15" customHeight="1" x14ac:dyDescent="0.25">
      <c r="A37" s="19">
        <v>36</v>
      </c>
      <c r="B37" s="12" t="s">
        <v>1150</v>
      </c>
      <c r="C37" s="12" t="s">
        <v>1151</v>
      </c>
      <c r="D37" s="12" t="s">
        <v>1152</v>
      </c>
      <c r="E37" s="19">
        <v>6</v>
      </c>
      <c r="F37" s="19" t="s">
        <v>62</v>
      </c>
      <c r="G37" s="12" t="s">
        <v>174</v>
      </c>
      <c r="H37" s="12" t="s">
        <v>180</v>
      </c>
      <c r="I37" s="19">
        <v>2</v>
      </c>
      <c r="J37" s="19" t="s">
        <v>1032</v>
      </c>
      <c r="K37" s="19" t="s">
        <v>1059</v>
      </c>
      <c r="L37" s="19" t="s">
        <v>1109</v>
      </c>
      <c r="M37" s="12" t="s">
        <v>1064</v>
      </c>
      <c r="N37" s="12" t="s">
        <v>123</v>
      </c>
      <c r="O37" s="12" t="s">
        <v>1134</v>
      </c>
      <c r="P37" s="12" t="s">
        <v>1153</v>
      </c>
    </row>
    <row r="38" spans="1:16" ht="15" customHeight="1" x14ac:dyDescent="0.25">
      <c r="A38" s="19">
        <v>37</v>
      </c>
      <c r="B38" s="12" t="s">
        <v>1154</v>
      </c>
      <c r="C38" s="12" t="s">
        <v>1054</v>
      </c>
      <c r="D38" s="12" t="s">
        <v>1155</v>
      </c>
      <c r="E38" s="19">
        <v>5</v>
      </c>
      <c r="F38" s="19" t="s">
        <v>12</v>
      </c>
      <c r="G38" s="12" t="s">
        <v>170</v>
      </c>
      <c r="H38" s="12"/>
      <c r="I38" s="19">
        <v>2</v>
      </c>
      <c r="J38" s="19" t="s">
        <v>1032</v>
      </c>
      <c r="K38" s="19" t="s">
        <v>1059</v>
      </c>
      <c r="L38" s="19" t="s">
        <v>1059</v>
      </c>
      <c r="M38" s="12" t="s">
        <v>1033</v>
      </c>
      <c r="N38" s="12"/>
      <c r="O38" s="12" t="s">
        <v>1134</v>
      </c>
      <c r="P38" s="12" t="s">
        <v>1156</v>
      </c>
    </row>
    <row r="39" spans="1:16" ht="15" customHeight="1" x14ac:dyDescent="0.25">
      <c r="A39" s="19">
        <v>38</v>
      </c>
      <c r="B39" s="12" t="s">
        <v>1157</v>
      </c>
      <c r="C39" s="12" t="s">
        <v>1054</v>
      </c>
      <c r="D39" s="12" t="s">
        <v>1158</v>
      </c>
      <c r="E39" s="19">
        <v>7</v>
      </c>
      <c r="F39" s="19" t="s">
        <v>12</v>
      </c>
      <c r="G39" s="12" t="s">
        <v>180</v>
      </c>
      <c r="H39" s="12" t="s">
        <v>174</v>
      </c>
      <c r="I39" s="19">
        <v>2</v>
      </c>
      <c r="J39" s="19" t="s">
        <v>1059</v>
      </c>
      <c r="K39" s="19" t="s">
        <v>1059</v>
      </c>
      <c r="L39" s="19" t="s">
        <v>1059</v>
      </c>
      <c r="M39" s="12" t="s">
        <v>1033</v>
      </c>
      <c r="N39" s="12"/>
      <c r="O39" s="12" t="s">
        <v>1159</v>
      </c>
      <c r="P39" s="12" t="s">
        <v>1160</v>
      </c>
    </row>
    <row r="40" spans="1:16" ht="15" customHeight="1" x14ac:dyDescent="0.25">
      <c r="A40" s="19">
        <v>39</v>
      </c>
      <c r="B40" s="12" t="s">
        <v>1161</v>
      </c>
      <c r="C40" s="12" t="s">
        <v>1162</v>
      </c>
      <c r="D40" s="12" t="s">
        <v>1163</v>
      </c>
      <c r="E40" s="19">
        <v>8</v>
      </c>
      <c r="F40" s="19" t="s">
        <v>12</v>
      </c>
      <c r="G40" s="12" t="s">
        <v>180</v>
      </c>
      <c r="H40" s="12"/>
      <c r="I40" s="19">
        <v>2</v>
      </c>
      <c r="J40" s="19" t="s">
        <v>1059</v>
      </c>
      <c r="K40" s="19" t="s">
        <v>1059</v>
      </c>
      <c r="L40" s="19" t="s">
        <v>1032</v>
      </c>
      <c r="M40" s="12" t="s">
        <v>1033</v>
      </c>
      <c r="N40" s="12"/>
      <c r="O40" s="12" t="s">
        <v>1112</v>
      </c>
      <c r="P40" s="12" t="s">
        <v>1164</v>
      </c>
    </row>
    <row r="41" spans="1:16" ht="15" customHeight="1" x14ac:dyDescent="0.25">
      <c r="A41" s="19">
        <v>40</v>
      </c>
      <c r="B41" s="12" t="s">
        <v>1165</v>
      </c>
      <c r="C41" s="12" t="s">
        <v>1125</v>
      </c>
      <c r="D41" s="12" t="s">
        <v>1166</v>
      </c>
      <c r="E41" s="19">
        <v>6</v>
      </c>
      <c r="F41" s="19" t="s">
        <v>62</v>
      </c>
      <c r="G41" s="12" t="s">
        <v>173</v>
      </c>
      <c r="H41" s="12"/>
      <c r="I41" s="19">
        <v>1</v>
      </c>
      <c r="J41" s="19" t="s">
        <v>1059</v>
      </c>
      <c r="K41" s="19" t="s">
        <v>1059</v>
      </c>
      <c r="L41" s="19" t="s">
        <v>1059</v>
      </c>
      <c r="M41" s="12" t="s">
        <v>1033</v>
      </c>
      <c r="N41" s="12"/>
      <c r="O41" s="12" t="s">
        <v>1112</v>
      </c>
      <c r="P41" s="12" t="s">
        <v>1167</v>
      </c>
    </row>
    <row r="42" spans="1:16" ht="15" customHeight="1" x14ac:dyDescent="0.25">
      <c r="A42" s="19"/>
      <c r="B42" s="12"/>
      <c r="C42" s="12"/>
      <c r="D42" s="12"/>
      <c r="E42" s="19"/>
      <c r="F42" s="19"/>
      <c r="G42" s="12"/>
      <c r="H42" s="12"/>
      <c r="I42" s="19"/>
      <c r="J42" s="19"/>
      <c r="K42" s="19"/>
      <c r="L42" s="19"/>
      <c r="M42" s="12"/>
      <c r="N42" s="12"/>
      <c r="O42" s="12"/>
      <c r="P42" s="12"/>
    </row>
    <row r="43" spans="1:16" ht="15" customHeight="1" x14ac:dyDescent="0.25">
      <c r="A43" s="19"/>
      <c r="B43" s="12"/>
      <c r="C43" s="12"/>
      <c r="D43" s="12"/>
      <c r="E43" s="19"/>
      <c r="F43" s="19"/>
      <c r="G43" s="12"/>
      <c r="H43" s="12"/>
      <c r="I43" s="19"/>
      <c r="J43" s="19"/>
      <c r="K43" s="19"/>
      <c r="L43" s="19"/>
      <c r="M43" s="12"/>
      <c r="N43" s="12"/>
      <c r="O43" s="12"/>
      <c r="P43" s="12"/>
    </row>
    <row r="44" spans="1:16" ht="15" customHeight="1" x14ac:dyDescent="0.25">
      <c r="A44" s="19"/>
      <c r="B44" s="12"/>
      <c r="C44" s="12"/>
      <c r="D44" s="12"/>
      <c r="E44" s="19"/>
      <c r="F44" s="19"/>
      <c r="G44" s="12"/>
      <c r="H44" s="12"/>
      <c r="I44" s="19"/>
      <c r="J44" s="19"/>
      <c r="K44" s="19"/>
      <c r="L44" s="19"/>
      <c r="M44" s="12"/>
      <c r="N44" s="12"/>
      <c r="O44" s="12"/>
      <c r="P44" s="12"/>
    </row>
    <row r="45" spans="1:16" ht="15" customHeight="1" x14ac:dyDescent="0.25">
      <c r="A45" s="19"/>
      <c r="B45" s="12"/>
      <c r="C45" s="12"/>
      <c r="D45" s="12"/>
      <c r="E45" s="19"/>
      <c r="F45" s="19"/>
      <c r="G45" s="12"/>
      <c r="H45" s="12"/>
      <c r="I45" s="19"/>
      <c r="J45" s="19"/>
      <c r="K45" s="19"/>
      <c r="L45" s="19"/>
      <c r="M45" s="12"/>
      <c r="N45" s="12"/>
      <c r="O45" s="12"/>
      <c r="P45" s="12"/>
    </row>
    <row r="46" spans="1:16" ht="15" customHeight="1" x14ac:dyDescent="0.25">
      <c r="A46" s="19"/>
      <c r="B46" s="12"/>
      <c r="C46" s="12"/>
      <c r="D46" s="12"/>
      <c r="E46" s="19"/>
      <c r="F46" s="19"/>
      <c r="G46" s="12"/>
      <c r="H46" s="12"/>
      <c r="I46" s="19"/>
      <c r="J46" s="19"/>
      <c r="K46" s="19"/>
      <c r="L46" s="19"/>
      <c r="M46" s="12"/>
      <c r="N46" s="12"/>
      <c r="O46" s="12"/>
      <c r="P46" s="12"/>
    </row>
    <row r="47" spans="1:16" ht="15" customHeight="1" x14ac:dyDescent="0.25">
      <c r="A47" s="19"/>
      <c r="B47" s="12"/>
      <c r="C47" s="12"/>
      <c r="D47" s="12"/>
      <c r="E47" s="19"/>
      <c r="F47" s="19"/>
      <c r="G47" s="12"/>
      <c r="H47" s="12"/>
      <c r="I47" s="19"/>
      <c r="J47" s="19"/>
      <c r="K47" s="19"/>
      <c r="L47" s="19"/>
      <c r="M47" s="12"/>
      <c r="N47" s="12"/>
      <c r="O47" s="12"/>
      <c r="P47" s="12"/>
    </row>
    <row r="48" spans="1:16" ht="15" customHeight="1" x14ac:dyDescent="0.25">
      <c r="A48" s="19"/>
      <c r="B48" s="12"/>
      <c r="C48" s="12"/>
      <c r="D48" s="12"/>
      <c r="E48" s="19"/>
      <c r="F48" s="19"/>
      <c r="G48" s="12"/>
      <c r="H48" s="12"/>
      <c r="I48" s="19"/>
      <c r="J48" s="19"/>
      <c r="K48" s="19"/>
      <c r="L48" s="19"/>
      <c r="M48" s="12"/>
      <c r="N48" s="12"/>
      <c r="O48" s="12"/>
      <c r="P48" s="12"/>
    </row>
    <row r="49" spans="1:16" ht="15" customHeight="1" x14ac:dyDescent="0.25">
      <c r="A49" s="19"/>
      <c r="B49" s="12"/>
      <c r="C49" s="12"/>
      <c r="D49" s="12"/>
      <c r="E49" s="19"/>
      <c r="F49" s="19"/>
      <c r="G49" s="12"/>
      <c r="H49" s="12"/>
      <c r="I49" s="19"/>
      <c r="J49" s="19"/>
      <c r="K49" s="19"/>
      <c r="L49" s="19"/>
      <c r="M49" s="12"/>
      <c r="N49" s="12"/>
      <c r="O49" s="12"/>
      <c r="P49" s="12"/>
    </row>
    <row r="50" spans="1:16" ht="15" customHeight="1" x14ac:dyDescent="0.25">
      <c r="A50" s="19"/>
      <c r="B50" s="12"/>
      <c r="C50" s="12"/>
      <c r="D50" s="12"/>
      <c r="E50" s="19"/>
      <c r="F50" s="19"/>
      <c r="G50" s="12"/>
      <c r="H50" s="12"/>
      <c r="I50" s="19"/>
      <c r="J50" s="19"/>
      <c r="K50" s="19"/>
      <c r="L50" s="19"/>
      <c r="M50" s="12"/>
      <c r="N50" s="12"/>
      <c r="O50" s="12"/>
      <c r="P50" s="12"/>
    </row>
    <row r="51" spans="1:16" ht="15" customHeight="1" x14ac:dyDescent="0.25">
      <c r="A51" s="19"/>
      <c r="B51" s="12"/>
      <c r="C51" s="12"/>
      <c r="D51" s="12"/>
      <c r="E51" s="19"/>
      <c r="F51" s="19"/>
      <c r="G51" s="12"/>
      <c r="H51" s="12"/>
      <c r="I51" s="19"/>
      <c r="J51" s="19"/>
      <c r="K51" s="19"/>
      <c r="L51" s="19"/>
      <c r="M51" s="12"/>
      <c r="N51" s="12"/>
      <c r="O51" s="12"/>
      <c r="P51" s="12"/>
    </row>
    <row r="52" spans="1:16" ht="15" customHeight="1" x14ac:dyDescent="0.25">
      <c r="A52" s="19"/>
      <c r="B52" s="12"/>
      <c r="C52" s="12"/>
      <c r="D52" s="12"/>
      <c r="E52" s="19"/>
      <c r="F52" s="19"/>
      <c r="G52" s="12"/>
      <c r="H52" s="12"/>
      <c r="I52" s="19"/>
      <c r="J52" s="19"/>
      <c r="K52" s="19"/>
      <c r="L52" s="19"/>
      <c r="M52" s="12"/>
      <c r="N52" s="12"/>
      <c r="O52" s="12"/>
      <c r="P52" s="12"/>
    </row>
    <row r="53" spans="1:16" ht="15" customHeight="1" x14ac:dyDescent="0.25">
      <c r="A53" s="19"/>
      <c r="B53" s="12"/>
      <c r="C53" s="12"/>
      <c r="D53" s="12"/>
      <c r="E53" s="19"/>
      <c r="F53" s="19"/>
      <c r="G53" s="12"/>
      <c r="H53" s="12"/>
      <c r="I53" s="19"/>
      <c r="J53" s="19"/>
      <c r="K53" s="19"/>
      <c r="L53" s="19"/>
      <c r="M53" s="12"/>
      <c r="N53" s="12"/>
      <c r="O53" s="12"/>
      <c r="P53" s="12"/>
    </row>
    <row r="54" spans="1:16" ht="15" customHeight="1" x14ac:dyDescent="0.25">
      <c r="A54" s="19"/>
      <c r="B54" s="12"/>
      <c r="C54" s="12"/>
      <c r="D54" s="12"/>
      <c r="E54" s="19"/>
      <c r="F54" s="19"/>
      <c r="G54" s="12"/>
      <c r="H54" s="12"/>
      <c r="I54" s="19"/>
      <c r="J54" s="19"/>
      <c r="K54" s="19"/>
      <c r="L54" s="19"/>
      <c r="M54" s="12"/>
      <c r="N54" s="12"/>
      <c r="O54" s="12"/>
      <c r="P54" s="12"/>
    </row>
    <row r="55" spans="1:16" ht="15" customHeight="1" x14ac:dyDescent="0.25">
      <c r="A55" s="19"/>
      <c r="B55" s="12"/>
      <c r="C55" s="12"/>
      <c r="D55" s="12"/>
      <c r="E55" s="19"/>
      <c r="F55" s="19"/>
      <c r="G55" s="12"/>
      <c r="H55" s="12"/>
      <c r="I55" s="19"/>
      <c r="J55" s="19"/>
      <c r="K55" s="19"/>
      <c r="L55" s="19"/>
      <c r="M55" s="12"/>
      <c r="N55" s="12"/>
      <c r="O55" s="12"/>
      <c r="P55" s="12"/>
    </row>
    <row r="56" spans="1:16" ht="15" customHeight="1" x14ac:dyDescent="0.25">
      <c r="A56" s="19"/>
      <c r="B56" s="12"/>
      <c r="C56" s="12"/>
      <c r="D56" s="12"/>
      <c r="E56" s="19"/>
      <c r="F56" s="19"/>
      <c r="G56" s="12"/>
      <c r="H56" s="12"/>
      <c r="I56" s="19"/>
      <c r="J56" s="19"/>
      <c r="K56" s="19"/>
      <c r="L56" s="19"/>
      <c r="M56" s="12"/>
      <c r="N56" s="12"/>
      <c r="O56" s="12"/>
      <c r="P56" s="12"/>
    </row>
    <row r="57" spans="1:16" ht="15" customHeight="1" x14ac:dyDescent="0.25">
      <c r="A57" s="19"/>
      <c r="B57" s="12"/>
      <c r="C57" s="12"/>
      <c r="D57" s="12"/>
      <c r="E57" s="19"/>
      <c r="F57" s="19"/>
      <c r="G57" s="12"/>
      <c r="H57" s="12"/>
      <c r="I57" s="19"/>
      <c r="J57" s="19"/>
      <c r="K57" s="19"/>
      <c r="L57" s="19"/>
      <c r="M57" s="12"/>
      <c r="N57" s="12"/>
      <c r="O57" s="12"/>
      <c r="P57" s="12"/>
    </row>
    <row r="58" spans="1:16" ht="15" customHeight="1" x14ac:dyDescent="0.25">
      <c r="A58" s="19"/>
      <c r="B58" s="12"/>
      <c r="C58" s="12"/>
      <c r="D58" s="12"/>
      <c r="E58" s="19"/>
      <c r="F58" s="19"/>
      <c r="G58" s="12"/>
      <c r="H58" s="12"/>
      <c r="I58" s="19"/>
      <c r="J58" s="19"/>
      <c r="K58" s="19"/>
      <c r="L58" s="19"/>
      <c r="M58" s="12"/>
      <c r="N58" s="12"/>
      <c r="O58" s="12"/>
      <c r="P58" s="12"/>
    </row>
    <row r="59" spans="1:16" ht="15" customHeight="1" x14ac:dyDescent="0.25">
      <c r="A59" s="19"/>
      <c r="B59" s="12"/>
      <c r="C59" s="12"/>
      <c r="D59" s="12"/>
      <c r="E59" s="19"/>
      <c r="F59" s="19"/>
      <c r="G59" s="12"/>
      <c r="H59" s="12"/>
      <c r="I59" s="19"/>
      <c r="J59" s="19"/>
      <c r="K59" s="19"/>
      <c r="L59" s="19"/>
      <c r="M59" s="12"/>
      <c r="N59" s="12"/>
      <c r="O59" s="12"/>
      <c r="P59" s="12"/>
    </row>
    <row r="60" spans="1:16" ht="15" customHeight="1" x14ac:dyDescent="0.25">
      <c r="A60" s="19"/>
      <c r="B60" s="12"/>
      <c r="C60" s="12"/>
      <c r="D60" s="12"/>
      <c r="E60" s="19"/>
      <c r="F60" s="19"/>
      <c r="G60" s="12"/>
      <c r="H60" s="12"/>
      <c r="I60" s="19"/>
      <c r="J60" s="19"/>
      <c r="K60" s="19"/>
      <c r="L60" s="19"/>
      <c r="M60" s="12"/>
      <c r="N60" s="12"/>
      <c r="O60" s="12"/>
      <c r="P60" s="12"/>
    </row>
    <row r="61" spans="1:16" ht="15" customHeight="1" x14ac:dyDescent="0.25">
      <c r="A61" s="19"/>
      <c r="B61" s="12"/>
      <c r="C61" s="12"/>
      <c r="D61" s="12"/>
      <c r="E61" s="19"/>
      <c r="F61" s="19"/>
      <c r="G61" s="12"/>
      <c r="H61" s="12"/>
      <c r="I61" s="19"/>
      <c r="J61" s="19"/>
      <c r="K61" s="19"/>
      <c r="L61" s="19"/>
      <c r="M61" s="12"/>
      <c r="N61" s="12"/>
      <c r="O61" s="12"/>
      <c r="P61" s="12"/>
    </row>
    <row r="62" spans="1:16" ht="15" customHeight="1" x14ac:dyDescent="0.25">
      <c r="A62" s="19"/>
      <c r="B62" s="12"/>
      <c r="C62" s="12"/>
      <c r="D62" s="12"/>
      <c r="E62" s="19"/>
      <c r="F62" s="19"/>
      <c r="G62" s="12"/>
      <c r="H62" s="12"/>
      <c r="I62" s="19"/>
      <c r="J62" s="19"/>
      <c r="K62" s="19"/>
      <c r="L62" s="19"/>
      <c r="M62" s="12"/>
      <c r="N62" s="12"/>
      <c r="O62" s="12"/>
      <c r="P62" s="12"/>
    </row>
    <row r="63" spans="1:16" ht="15" customHeight="1" x14ac:dyDescent="0.25">
      <c r="A63" s="19"/>
      <c r="B63" s="12"/>
      <c r="C63" s="12"/>
      <c r="D63" s="12"/>
      <c r="E63" s="19"/>
      <c r="F63" s="19"/>
      <c r="G63" s="12"/>
      <c r="H63" s="12"/>
      <c r="I63" s="19"/>
      <c r="J63" s="19"/>
      <c r="K63" s="19"/>
      <c r="L63" s="19"/>
      <c r="M63" s="12"/>
      <c r="N63" s="12"/>
      <c r="O63" s="12"/>
      <c r="P63" s="12"/>
    </row>
    <row r="64" spans="1:16" ht="15" customHeight="1" x14ac:dyDescent="0.25">
      <c r="A64" s="19"/>
      <c r="B64" s="12"/>
      <c r="C64" s="12"/>
      <c r="D64" s="12"/>
      <c r="E64" s="19"/>
      <c r="F64" s="19"/>
      <c r="G64" s="12"/>
      <c r="H64" s="12"/>
      <c r="I64" s="19"/>
      <c r="J64" s="19"/>
      <c r="K64" s="19"/>
      <c r="L64" s="19"/>
      <c r="M64" s="12"/>
      <c r="N64" s="12"/>
      <c r="O64" s="12"/>
      <c r="P64" s="12"/>
    </row>
    <row r="65" spans="1:16" ht="15" customHeight="1" x14ac:dyDescent="0.25">
      <c r="A65" s="19"/>
      <c r="B65" s="12"/>
      <c r="C65" s="12"/>
      <c r="D65" s="12"/>
      <c r="E65" s="19"/>
      <c r="F65" s="19"/>
      <c r="G65" s="12"/>
      <c r="H65" s="12"/>
      <c r="I65" s="19"/>
      <c r="J65" s="19"/>
      <c r="K65" s="19"/>
      <c r="L65" s="19"/>
      <c r="M65" s="12"/>
      <c r="N65" s="12"/>
      <c r="O65" s="12"/>
      <c r="P65" s="12"/>
    </row>
    <row r="66" spans="1:16" ht="15" customHeight="1" x14ac:dyDescent="0.25">
      <c r="A66" s="19"/>
      <c r="B66" s="12"/>
      <c r="C66" s="12"/>
      <c r="D66" s="12"/>
      <c r="E66" s="19"/>
      <c r="F66" s="19"/>
      <c r="G66" s="12"/>
      <c r="H66" s="12"/>
      <c r="I66" s="19"/>
      <c r="J66" s="19"/>
      <c r="K66" s="19"/>
      <c r="L66" s="19"/>
      <c r="M66" s="12"/>
      <c r="N66" s="12"/>
      <c r="O66" s="12"/>
      <c r="P66" s="12"/>
    </row>
    <row r="67" spans="1:16" ht="15" customHeight="1" x14ac:dyDescent="0.25">
      <c r="A67" s="19"/>
      <c r="B67" s="12"/>
      <c r="C67" s="12"/>
      <c r="D67" s="12"/>
      <c r="E67" s="19"/>
      <c r="F67" s="19"/>
      <c r="G67" s="12"/>
      <c r="H67" s="12"/>
      <c r="I67" s="19"/>
      <c r="J67" s="19"/>
      <c r="K67" s="19"/>
      <c r="L67" s="19"/>
      <c r="M67" s="12"/>
      <c r="N67" s="12"/>
      <c r="O67" s="12"/>
      <c r="P67" s="12"/>
    </row>
    <row r="68" spans="1:16" ht="15" customHeight="1" x14ac:dyDescent="0.25">
      <c r="A68" s="19"/>
      <c r="B68" s="12"/>
      <c r="C68" s="12"/>
      <c r="D68" s="12"/>
      <c r="E68" s="19"/>
      <c r="F68" s="19"/>
      <c r="G68" s="12"/>
      <c r="H68" s="12"/>
      <c r="I68" s="19"/>
      <c r="J68" s="19"/>
      <c r="K68" s="19"/>
      <c r="L68" s="19"/>
      <c r="M68" s="12"/>
      <c r="N68" s="12"/>
      <c r="O68" s="12"/>
      <c r="P68" s="12"/>
    </row>
    <row r="69" spans="1:16" ht="15" customHeight="1" x14ac:dyDescent="0.25">
      <c r="A69" s="19"/>
      <c r="B69" s="12"/>
      <c r="C69" s="12"/>
      <c r="D69" s="12"/>
      <c r="E69" s="19"/>
      <c r="F69" s="19"/>
      <c r="G69" s="12"/>
      <c r="H69" s="12"/>
      <c r="I69" s="19"/>
      <c r="J69" s="19"/>
      <c r="K69" s="19"/>
      <c r="L69" s="19"/>
      <c r="M69" s="12"/>
      <c r="N69" s="12"/>
      <c r="O69" s="12"/>
      <c r="P69" s="12"/>
    </row>
    <row r="70" spans="1:16" ht="15" customHeight="1" x14ac:dyDescent="0.25">
      <c r="A70" s="19"/>
      <c r="B70" s="12"/>
      <c r="C70" s="12"/>
      <c r="D70" s="12"/>
      <c r="E70" s="19"/>
      <c r="F70" s="19"/>
      <c r="G70" s="12"/>
      <c r="H70" s="12"/>
      <c r="I70" s="19"/>
      <c r="J70" s="19"/>
      <c r="K70" s="19"/>
      <c r="L70" s="19"/>
      <c r="M70" s="12"/>
      <c r="N70" s="12"/>
      <c r="O70" s="12"/>
      <c r="P70" s="12"/>
    </row>
    <row r="71" spans="1:16" ht="15" customHeight="1" x14ac:dyDescent="0.25">
      <c r="A71" s="19"/>
      <c r="B71" s="12"/>
      <c r="C71" s="12"/>
      <c r="D71" s="12"/>
      <c r="E71" s="19"/>
      <c r="F71" s="19"/>
      <c r="G71" s="12"/>
      <c r="H71" s="12"/>
      <c r="I71" s="19"/>
      <c r="J71" s="19"/>
      <c r="K71" s="19"/>
      <c r="L71" s="19"/>
      <c r="M71" s="12"/>
      <c r="N71" s="12"/>
      <c r="O71" s="12"/>
      <c r="P71" s="12"/>
    </row>
    <row r="72" spans="1:16" ht="15" customHeight="1" x14ac:dyDescent="0.25">
      <c r="A72" s="19"/>
      <c r="B72" s="12"/>
      <c r="C72" s="12"/>
      <c r="D72" s="12"/>
      <c r="E72" s="19"/>
      <c r="F72" s="19"/>
      <c r="G72" s="12"/>
      <c r="H72" s="12"/>
      <c r="I72" s="19"/>
      <c r="J72" s="19"/>
      <c r="K72" s="19"/>
      <c r="L72" s="19"/>
      <c r="M72" s="12"/>
      <c r="N72" s="12"/>
      <c r="O72" s="12"/>
      <c r="P72" s="12"/>
    </row>
    <row r="73" spans="1:16" ht="15" customHeight="1" x14ac:dyDescent="0.25">
      <c r="A73" s="19"/>
      <c r="B73" s="12"/>
      <c r="C73" s="12"/>
      <c r="D73" s="12"/>
      <c r="E73" s="19"/>
      <c r="F73" s="19"/>
      <c r="G73" s="12"/>
      <c r="H73" s="12"/>
      <c r="I73" s="19"/>
      <c r="J73" s="19"/>
      <c r="K73" s="19"/>
      <c r="L73" s="19"/>
      <c r="M73" s="12"/>
      <c r="N73" s="12"/>
      <c r="O73" s="12"/>
      <c r="P73" s="12"/>
    </row>
    <row r="74" spans="1:16" ht="15" customHeight="1" x14ac:dyDescent="0.25">
      <c r="A74" s="19"/>
      <c r="B74" s="12"/>
      <c r="C74" s="12"/>
      <c r="D74" s="12"/>
      <c r="E74" s="19"/>
      <c r="F74" s="19"/>
      <c r="G74" s="12"/>
      <c r="H74" s="12"/>
      <c r="I74" s="19"/>
      <c r="J74" s="19"/>
      <c r="K74" s="19"/>
      <c r="L74" s="19"/>
      <c r="M74" s="12"/>
      <c r="N74" s="12"/>
      <c r="O74" s="12"/>
      <c r="P74" s="12"/>
    </row>
    <row r="75" spans="1:16" ht="15" customHeight="1" x14ac:dyDescent="0.25">
      <c r="A75" s="19"/>
      <c r="B75" s="12"/>
      <c r="C75" s="12"/>
      <c r="D75" s="12"/>
      <c r="E75" s="19"/>
      <c r="F75" s="19"/>
      <c r="G75" s="12"/>
      <c r="H75" s="12"/>
      <c r="I75" s="19"/>
      <c r="J75" s="19"/>
      <c r="K75" s="19"/>
      <c r="L75" s="19"/>
      <c r="M75" s="12"/>
      <c r="N75" s="12"/>
      <c r="O75" s="12"/>
      <c r="P75" s="12"/>
    </row>
    <row r="76" spans="1:16" ht="15" customHeight="1" x14ac:dyDescent="0.25">
      <c r="A76" s="19"/>
      <c r="B76" s="12"/>
      <c r="C76" s="12"/>
      <c r="D76" s="12"/>
      <c r="E76" s="19"/>
      <c r="F76" s="19"/>
      <c r="G76" s="12"/>
      <c r="H76" s="12"/>
      <c r="I76" s="19"/>
      <c r="J76" s="19"/>
      <c r="K76" s="19"/>
      <c r="L76" s="19"/>
      <c r="M76" s="12"/>
      <c r="N76" s="12"/>
      <c r="O76" s="12"/>
      <c r="P76" s="12"/>
    </row>
    <row r="77" spans="1:16" ht="15" customHeight="1" x14ac:dyDescent="0.25">
      <c r="A77" s="19"/>
      <c r="B77" s="12"/>
      <c r="C77" s="12"/>
      <c r="D77" s="12"/>
      <c r="E77" s="19"/>
      <c r="F77" s="19"/>
      <c r="G77" s="12"/>
      <c r="H77" s="12"/>
      <c r="I77" s="19"/>
      <c r="J77" s="19"/>
      <c r="K77" s="19"/>
      <c r="L77" s="19"/>
      <c r="M77" s="12"/>
      <c r="N77" s="12"/>
      <c r="O77" s="12"/>
      <c r="P77" s="12"/>
    </row>
    <row r="78" spans="1:16" ht="15" customHeight="1" x14ac:dyDescent="0.25">
      <c r="A78" s="19"/>
      <c r="B78" s="12"/>
      <c r="C78" s="12"/>
      <c r="D78" s="12"/>
      <c r="E78" s="19"/>
      <c r="F78" s="19"/>
      <c r="G78" s="12"/>
      <c r="H78" s="12"/>
      <c r="I78" s="19"/>
      <c r="J78" s="19"/>
      <c r="K78" s="19"/>
      <c r="L78" s="19"/>
      <c r="M78" s="12"/>
      <c r="N78" s="12"/>
      <c r="O78" s="12"/>
      <c r="P78" s="12"/>
    </row>
    <row r="79" spans="1:16" ht="15" customHeight="1" x14ac:dyDescent="0.25">
      <c r="A79" s="19"/>
      <c r="B79" s="12"/>
      <c r="C79" s="12"/>
      <c r="D79" s="12"/>
      <c r="E79" s="19"/>
      <c r="F79" s="19"/>
      <c r="G79" s="12"/>
      <c r="H79" s="12"/>
      <c r="I79" s="19"/>
      <c r="J79" s="19"/>
      <c r="K79" s="19"/>
      <c r="L79" s="19"/>
      <c r="M79" s="12"/>
      <c r="N79" s="12"/>
      <c r="O79" s="12"/>
      <c r="P79" s="12"/>
    </row>
    <row r="80" spans="1:16" ht="15" customHeight="1" x14ac:dyDescent="0.25">
      <c r="A80" s="19"/>
      <c r="B80" s="12"/>
      <c r="C80" s="12"/>
      <c r="D80" s="12"/>
      <c r="E80" s="19"/>
      <c r="F80" s="19"/>
      <c r="G80" s="12"/>
      <c r="H80" s="12"/>
      <c r="I80" s="19"/>
      <c r="J80" s="19"/>
      <c r="K80" s="19"/>
      <c r="L80" s="19"/>
      <c r="M80" s="12"/>
      <c r="N80" s="12"/>
      <c r="O80" s="12"/>
      <c r="P80" s="12"/>
    </row>
  </sheetData>
  <autoFilter ref="A1:P80" xr:uid="{00000000-0009-0000-0000-000007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allowBlank="1" showErrorMessage="1" error="Выберите значение из списка" xr:uid="{00000000-0002-0000-0700-000000000000}">
          <x14:formula1>
            <xm:f>Списки!$F$2:$F$3</xm:f>
          </x14:formula1>
          <x14:formula2>
            <xm:f>0</xm:f>
          </x14:formula2>
          <xm:sqref>F2:F80</xm:sqref>
        </x14:dataValidation>
        <x14:dataValidation type="list" allowBlank="1" showErrorMessage="1" error="Выберите значение из списка" xr:uid="{00000000-0002-0000-0700-000001000000}">
          <x14:formula1>
            <xm:f>Списки!$C$2:$C$6</xm:f>
          </x14:formula1>
          <x14:formula2>
            <xm:f>0</xm:f>
          </x14:formula2>
          <xm:sqref>G2:H80</xm:sqref>
        </x14:dataValidation>
        <x14:dataValidation type="list" allowBlank="1" showErrorMessage="1" error="Выберите значение из списка" xr:uid="{00000000-0002-0000-0700-000003000000}">
          <x14:formula1>
            <xm:f>Списки!$K$2:$K$5</xm:f>
          </x14:formula1>
          <x14:formula2>
            <xm:f>0</xm:f>
          </x14:formula2>
          <xm:sqref>M2:M80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zoomScaleNormal="100" workbookViewId="0"/>
  </sheetViews>
  <sheetFormatPr defaultColWidth="8.7109375" defaultRowHeight="15" x14ac:dyDescent="0.25"/>
  <cols>
    <col min="1" max="1" width="28" style="18" customWidth="1"/>
    <col min="2" max="2" width="36" style="18" customWidth="1"/>
    <col min="3" max="8" width="18" style="18" customWidth="1"/>
  </cols>
  <sheetData>
    <row r="1" spans="1:8" ht="17.25" customHeight="1" x14ac:dyDescent="0.25">
      <c r="A1" s="25" t="s">
        <v>1168</v>
      </c>
      <c r="B1" s="26"/>
      <c r="C1" s="26"/>
      <c r="D1" s="26"/>
      <c r="E1" s="26"/>
      <c r="F1" s="26"/>
      <c r="G1" s="26"/>
      <c r="H1" s="26"/>
    </row>
    <row r="2" spans="1:8" ht="15" customHeight="1" x14ac:dyDescent="0.25">
      <c r="A2" s="26"/>
      <c r="B2" s="26"/>
      <c r="C2" s="26"/>
      <c r="D2" s="26"/>
      <c r="E2" s="26"/>
      <c r="F2" s="26"/>
      <c r="G2" s="26"/>
      <c r="H2" s="26"/>
    </row>
    <row r="3" spans="1:8" ht="15" customHeight="1" x14ac:dyDescent="0.25">
      <c r="A3" s="27" t="s">
        <v>1169</v>
      </c>
      <c r="B3" s="26"/>
      <c r="C3" s="26"/>
      <c r="D3" s="28">
        <v>5</v>
      </c>
      <c r="E3" s="27" t="s">
        <v>1170</v>
      </c>
      <c r="F3" s="26"/>
      <c r="G3" s="26"/>
      <c r="H3" s="28">
        <v>5</v>
      </c>
    </row>
    <row r="4" spans="1:8" ht="15" customHeight="1" x14ac:dyDescent="0.25">
      <c r="A4" s="26"/>
      <c r="B4" s="26"/>
      <c r="C4" s="26"/>
      <c r="D4" s="26"/>
      <c r="E4" s="26"/>
      <c r="F4" s="26"/>
      <c r="G4" s="26"/>
      <c r="H4" s="26"/>
    </row>
    <row r="5" spans="1:8" ht="15" customHeight="1" x14ac:dyDescent="0.25">
      <c r="A5" s="29" t="s">
        <v>1171</v>
      </c>
      <c r="B5" s="26"/>
      <c r="C5" s="26"/>
      <c r="D5" s="26"/>
      <c r="E5" s="26"/>
      <c r="F5" s="26"/>
      <c r="G5" s="26"/>
      <c r="H5" s="26"/>
    </row>
    <row r="6" spans="1:8" ht="43.5" customHeight="1" x14ac:dyDescent="0.25">
      <c r="A6" s="4" t="s">
        <v>1172</v>
      </c>
      <c r="B6" s="4" t="s">
        <v>1173</v>
      </c>
      <c r="C6" s="4" t="s">
        <v>1174</v>
      </c>
      <c r="D6" s="4" t="s">
        <v>1175</v>
      </c>
      <c r="E6" s="4" t="s">
        <v>1176</v>
      </c>
      <c r="F6" s="4" t="s">
        <v>1177</v>
      </c>
      <c r="G6" s="4" t="s">
        <v>1178</v>
      </c>
      <c r="H6" s="4" t="s">
        <v>1179</v>
      </c>
    </row>
    <row r="7" spans="1:8" ht="15" customHeight="1" x14ac:dyDescent="0.25">
      <c r="A7" s="30" t="s">
        <v>165</v>
      </c>
      <c r="B7" s="30" t="s">
        <v>1180</v>
      </c>
      <c r="C7" s="31">
        <f>COUNTIF(Карточки!$F$2:$F$61,A7)+COUNTIF(Карточки!$G$2:$G$61,A7)</f>
        <v>1</v>
      </c>
      <c r="D7" s="31">
        <f>COUNTIFS(Карточки!$F$2:$F$61,A7,Карточки!$L$2:$L$61,"готово")+COUNTIFS(Карточки!$G$2:$G$61,A7,Карточки!$L$2:$L$61,"готово")</f>
        <v>0</v>
      </c>
      <c r="E7" s="31">
        <f>COUNTIFS(Кандидаты!$G$2:$G$80,A7,Кандидаты!$F$2:$F$80,"да",Кандидаты!$M$2:$M$80,"&lt;&gt;карточка есть")+COUNTIFS(Кандидаты!$H$2:$H$80,A7,Кандидаты!$F$2:$F$80,"да",Кандидаты!$M$2:$M$80,"&lt;&gt;карточка есть")</f>
        <v>7</v>
      </c>
      <c r="F7" s="31">
        <f>C7+E7</f>
        <v>8</v>
      </c>
      <c r="G7" s="32" t="str">
        <f>IF(D7&gt;=$D$3,"да","нет")</f>
        <v>нет</v>
      </c>
      <c r="H7" s="32" t="str">
        <f>IF(F7&gt;=$D$3,"да","не хватает "&amp;($D$3-F7))</f>
        <v>да</v>
      </c>
    </row>
    <row r="8" spans="1:8" ht="15" customHeight="1" x14ac:dyDescent="0.25">
      <c r="A8" s="30" t="s">
        <v>173</v>
      </c>
      <c r="B8" s="30" t="s">
        <v>1181</v>
      </c>
      <c r="C8" s="31">
        <f>COUNTIF(Карточки!$F$2:$F$61,A8)+COUNTIF(Карточки!$G$2:$G$61,A8)</f>
        <v>4</v>
      </c>
      <c r="D8" s="31">
        <f>COUNTIFS(Карточки!$F$2:$F$61,A8,Карточки!$L$2:$L$61,"готово")+COUNTIFS(Карточки!$G$2:$G$61,A8,Карточки!$L$2:$L$61,"готово")</f>
        <v>0</v>
      </c>
      <c r="E8" s="31">
        <f>COUNTIFS(Кандидаты!$G$2:$G$80,A8,Кандидаты!$F$2:$F$80,"да",Кандидаты!$M$2:$M$80,"&lt;&gt;карточка есть")+COUNTIFS(Кандидаты!$H$2:$H$80,A8,Кандидаты!$F$2:$F$80,"да",Кандидаты!$M$2:$M$80,"&lt;&gt;карточка есть")</f>
        <v>3</v>
      </c>
      <c r="F8" s="31">
        <f>C8+E8</f>
        <v>7</v>
      </c>
      <c r="G8" s="32" t="str">
        <f>IF(D8&gt;=$D$3,"да","нет")</f>
        <v>нет</v>
      </c>
      <c r="H8" s="32" t="str">
        <f>IF(F8&gt;=$D$3,"да","не хватает "&amp;($D$3-F8))</f>
        <v>да</v>
      </c>
    </row>
    <row r="9" spans="1:8" ht="15" customHeight="1" x14ac:dyDescent="0.25">
      <c r="A9" s="30" t="s">
        <v>180</v>
      </c>
      <c r="B9" s="30" t="s">
        <v>1182</v>
      </c>
      <c r="C9" s="31">
        <f>COUNTIF(Карточки!$F$2:$F$61,A9)+COUNTIF(Карточки!$G$2:$G$61,A9)</f>
        <v>6</v>
      </c>
      <c r="D9" s="31">
        <f>COUNTIFS(Карточки!$F$2:$F$61,A9,Карточки!$L$2:$L$61,"готово")+COUNTIFS(Карточки!$G$2:$G$61,A9,Карточки!$L$2:$L$61,"готово")</f>
        <v>0</v>
      </c>
      <c r="E9" s="31">
        <f>COUNTIFS(Кандидаты!$G$2:$G$80,A9,Кандидаты!$F$2:$F$80,"да",Кандидаты!$M$2:$M$80,"&lt;&gt;карточка есть")+COUNTIFS(Кандидаты!$H$2:$H$80,A9,Кандидаты!$F$2:$F$80,"да",Кандидаты!$M$2:$M$80,"&lt;&gt;карточка есть")</f>
        <v>3</v>
      </c>
      <c r="F9" s="31">
        <f>C9+E9</f>
        <v>9</v>
      </c>
      <c r="G9" s="32" t="str">
        <f>IF(D9&gt;=$D$3,"да","нет")</f>
        <v>нет</v>
      </c>
      <c r="H9" s="32" t="str">
        <f>IF(F9&gt;=$D$3,"да","не хватает "&amp;($D$3-F9))</f>
        <v>да</v>
      </c>
    </row>
    <row r="10" spans="1:8" ht="15" customHeight="1" x14ac:dyDescent="0.25">
      <c r="A10" s="30" t="s">
        <v>174</v>
      </c>
      <c r="B10" s="30" t="s">
        <v>1183</v>
      </c>
      <c r="C10" s="31">
        <f>COUNTIF(Карточки!$F$2:$F$61,A10)+COUNTIF(Карточки!$G$2:$G$61,A10)</f>
        <v>6</v>
      </c>
      <c r="D10" s="31">
        <f>COUNTIFS(Карточки!$F$2:$F$61,A10,Карточки!$L$2:$L$61,"готово")+COUNTIFS(Карточки!$G$2:$G$61,A10,Карточки!$L$2:$L$61,"готово")</f>
        <v>0</v>
      </c>
      <c r="E10" s="31">
        <f>COUNTIFS(Кандидаты!$G$2:$G$80,A10,Кандидаты!$F$2:$F$80,"да",Кандидаты!$M$2:$M$80,"&lt;&gt;карточка есть")+COUNTIFS(Кандидаты!$H$2:$H$80,A10,Кандидаты!$F$2:$F$80,"да",Кандидаты!$M$2:$M$80,"&lt;&gt;карточка есть")</f>
        <v>1</v>
      </c>
      <c r="F10" s="31">
        <f>C10+E10</f>
        <v>7</v>
      </c>
      <c r="G10" s="32" t="str">
        <f>IF(D10&gt;=$D$3,"да","нет")</f>
        <v>нет</v>
      </c>
      <c r="H10" s="32" t="str">
        <f>IF(F10&gt;=$D$3,"да","не хватает "&amp;($D$3-F10))</f>
        <v>да</v>
      </c>
    </row>
    <row r="11" spans="1:8" ht="15" customHeight="1" x14ac:dyDescent="0.25">
      <c r="A11" s="30" t="s">
        <v>170</v>
      </c>
      <c r="B11" s="30" t="s">
        <v>1184</v>
      </c>
      <c r="C11" s="31">
        <f>COUNTIF(Карточки!$F$2:$F$61,A11)+COUNTIF(Карточки!$G$2:$G$61,A11)</f>
        <v>3</v>
      </c>
      <c r="D11" s="31">
        <f>COUNTIFS(Карточки!$F$2:$F$61,A11,Карточки!$L$2:$L$61,"готово")+COUNTIFS(Карточки!$G$2:$G$61,A11,Карточки!$L$2:$L$61,"готово")</f>
        <v>0</v>
      </c>
      <c r="E11" s="31">
        <f>COUNTIFS(Кандидаты!$G$2:$G$80,A11,Кандидаты!$F$2:$F$80,"да",Кандидаты!$M$2:$M$80,"&lt;&gt;карточка есть")+COUNTIFS(Кандидаты!$H$2:$H$80,A11,Кандидаты!$F$2:$F$80,"да",Кандидаты!$M$2:$M$80,"&lt;&gt;карточка есть")</f>
        <v>0</v>
      </c>
      <c r="F11" s="31">
        <f>C11+E11</f>
        <v>3</v>
      </c>
      <c r="G11" s="32" t="str">
        <f>IF(D11&gt;=$D$3,"да","нет")</f>
        <v>нет</v>
      </c>
      <c r="H11" s="32" t="str">
        <f>IF(F11&gt;=$D$3,"да","не хватает "&amp;($D$3-F11))</f>
        <v>не хватает 2</v>
      </c>
    </row>
    <row r="12" spans="1:8" ht="15" customHeight="1" x14ac:dyDescent="0.25">
      <c r="A12" s="33" t="s">
        <v>1185</v>
      </c>
      <c r="B12" s="26"/>
      <c r="C12" s="26"/>
      <c r="D12" s="26"/>
      <c r="E12" s="26"/>
      <c r="F12" s="26"/>
      <c r="G12" s="26"/>
      <c r="H12" s="26"/>
    </row>
    <row r="13" spans="1:8" ht="15" customHeight="1" x14ac:dyDescent="0.25">
      <c r="A13" s="26"/>
      <c r="B13" s="26"/>
      <c r="C13" s="26"/>
      <c r="D13" s="26"/>
      <c r="E13" s="26"/>
      <c r="F13" s="26"/>
      <c r="G13" s="26"/>
      <c r="H13" s="26"/>
    </row>
    <row r="14" spans="1:8" ht="15" customHeight="1" x14ac:dyDescent="0.25">
      <c r="A14" s="29" t="s">
        <v>1186</v>
      </c>
      <c r="B14" s="26"/>
      <c r="C14" s="26"/>
      <c r="D14" s="26"/>
      <c r="E14" s="26"/>
      <c r="F14" s="26"/>
      <c r="G14" s="26"/>
      <c r="H14" s="26"/>
    </row>
    <row r="15" spans="1:8" ht="31.5" customHeight="1" x14ac:dyDescent="0.25">
      <c r="A15" s="4" t="s">
        <v>1187</v>
      </c>
      <c r="B15" s="4" t="s">
        <v>1173</v>
      </c>
      <c r="C15" s="4" t="s">
        <v>1188</v>
      </c>
      <c r="D15" s="4" t="s">
        <v>1189</v>
      </c>
      <c r="E15" s="4" t="s">
        <v>1190</v>
      </c>
      <c r="F15" s="4" t="s">
        <v>1191</v>
      </c>
      <c r="G15" s="4" t="s">
        <v>1192</v>
      </c>
      <c r="H15" s="26"/>
    </row>
    <row r="16" spans="1:8" ht="15" customHeight="1" x14ac:dyDescent="0.25">
      <c r="A16" s="30" t="s">
        <v>162</v>
      </c>
      <c r="B16" s="30" t="s">
        <v>1193</v>
      </c>
      <c r="C16" s="31">
        <f>COUNTIFS(Карточки!$B$2:$B$61,A16,Карточки!$C$2:$C$61,"frame")</f>
        <v>1</v>
      </c>
      <c r="D16" s="31">
        <f>$H$3</f>
        <v>5</v>
      </c>
      <c r="E16" s="31">
        <f>COUNTIFS(Карточки!$B$2:$B$61,A16,Карточки!$C$2:$C$61,"story")</f>
        <v>4</v>
      </c>
      <c r="F16" s="31">
        <f>C16+E16</f>
        <v>5</v>
      </c>
      <c r="G16" s="31">
        <f>COUNTIFS(Карточки!$B$2:$B$61,A16,Карточки!$L$2:$L$61,"готово")</f>
        <v>0</v>
      </c>
      <c r="H16" s="26"/>
    </row>
    <row r="17" spans="1:8" ht="15" customHeight="1" x14ac:dyDescent="0.25">
      <c r="A17" s="30" t="s">
        <v>177</v>
      </c>
      <c r="B17" s="30" t="s">
        <v>1194</v>
      </c>
      <c r="C17" s="31">
        <f>COUNTIFS(Карточки!$B$2:$B$61,A17,Карточки!$C$2:$C$61,"frame")</f>
        <v>3</v>
      </c>
      <c r="D17" s="31">
        <f>$H$3</f>
        <v>5</v>
      </c>
      <c r="E17" s="31">
        <f>COUNTIFS(Карточки!$B$2:$B$61,A17,Карточки!$C$2:$C$61,"story")</f>
        <v>5</v>
      </c>
      <c r="F17" s="31">
        <f>C17+E17</f>
        <v>8</v>
      </c>
      <c r="G17" s="31">
        <f>COUNTIFS(Карточки!$B$2:$B$61,A17,Карточки!$L$2:$L$61,"готово")</f>
        <v>0</v>
      </c>
      <c r="H17" s="26"/>
    </row>
    <row r="18" spans="1:8" ht="15" customHeight="1" x14ac:dyDescent="0.25">
      <c r="A18" s="30" t="s">
        <v>1195</v>
      </c>
      <c r="B18" s="30" t="s">
        <v>1196</v>
      </c>
      <c r="C18" s="31">
        <f>COUNTIFS(Карточки!$B$2:$B$61,A18,Карточки!$C$2:$C$61,"frame")</f>
        <v>0</v>
      </c>
      <c r="D18" s="31">
        <f>$H$3</f>
        <v>5</v>
      </c>
      <c r="E18" s="31">
        <f>COUNTIFS(Карточки!$B$2:$B$61,A18,Карточки!$C$2:$C$61,"story")</f>
        <v>0</v>
      </c>
      <c r="F18" s="31">
        <f>C18+E18</f>
        <v>0</v>
      </c>
      <c r="G18" s="31">
        <f>COUNTIFS(Карточки!$B$2:$B$61,A18,Карточки!$L$2:$L$61,"готово")</f>
        <v>0</v>
      </c>
      <c r="H18" s="26"/>
    </row>
    <row r="19" spans="1:8" ht="15" customHeight="1" x14ac:dyDescent="0.25">
      <c r="A19" s="27" t="s">
        <v>1197</v>
      </c>
      <c r="B19" s="26"/>
      <c r="C19" s="34">
        <f>SUM(C16:C18)</f>
        <v>4</v>
      </c>
      <c r="D19" s="34">
        <f>SUM(D16:D18)</f>
        <v>15</v>
      </c>
      <c r="E19" s="34">
        <f>SUM(E16:E18)</f>
        <v>9</v>
      </c>
      <c r="F19" s="34">
        <f>SUM(F16:F18)</f>
        <v>13</v>
      </c>
      <c r="G19" s="34">
        <f>SUM(G16:G18)</f>
        <v>0</v>
      </c>
      <c r="H19" s="26"/>
    </row>
    <row r="20" spans="1:8" ht="15" customHeight="1" x14ac:dyDescent="0.25">
      <c r="A20" s="33" t="s">
        <v>1198</v>
      </c>
      <c r="B20" s="26"/>
      <c r="C20" s="26"/>
      <c r="D20" s="26"/>
      <c r="E20" s="26"/>
      <c r="F20" s="26"/>
      <c r="G20" s="26"/>
      <c r="H20" s="26"/>
    </row>
    <row r="21" spans="1:8" ht="15" customHeight="1" x14ac:dyDescent="0.25">
      <c r="A21" s="26"/>
      <c r="B21" s="26"/>
      <c r="C21" s="26"/>
      <c r="D21" s="26"/>
      <c r="E21" s="26"/>
      <c r="F21" s="26"/>
      <c r="G21" s="26"/>
      <c r="H21" s="26"/>
    </row>
    <row r="22" spans="1:8" ht="15" customHeight="1" x14ac:dyDescent="0.25">
      <c r="A22" s="29" t="s">
        <v>1199</v>
      </c>
      <c r="B22" s="26"/>
      <c r="C22" s="26"/>
      <c r="D22" s="26"/>
      <c r="E22" s="26"/>
      <c r="F22" s="26"/>
      <c r="G22" s="26"/>
      <c r="H22" s="26"/>
    </row>
    <row r="23" spans="1:8" ht="15" customHeight="1" x14ac:dyDescent="0.25">
      <c r="A23" s="35" t="s">
        <v>1200</v>
      </c>
      <c r="B23" s="26"/>
      <c r="C23" s="26"/>
      <c r="D23" s="34">
        <f>COUNTA(Карточки!$A$2:$A$61)</f>
        <v>13</v>
      </c>
      <c r="E23" s="26"/>
      <c r="F23" s="26"/>
      <c r="G23" s="26"/>
      <c r="H23" s="26"/>
    </row>
    <row r="24" spans="1:8" ht="15" customHeight="1" x14ac:dyDescent="0.25">
      <c r="A24" s="35" t="s">
        <v>1201</v>
      </c>
      <c r="B24" s="26"/>
      <c r="C24" s="26"/>
      <c r="D24" s="34">
        <f>SUMPRODUCT((Карточки!$A$2:$A$61&lt;&gt;"")*(Карточки!$N$2:$N$61&lt;&gt;"OK"))</f>
        <v>13</v>
      </c>
      <c r="E24" s="26"/>
      <c r="F24" s="26"/>
      <c r="G24" s="26"/>
      <c r="H24" s="26"/>
    </row>
    <row r="25" spans="1:8" ht="15" customHeight="1" x14ac:dyDescent="0.25">
      <c r="A25" s="35" t="s">
        <v>1202</v>
      </c>
      <c r="B25" s="26"/>
      <c r="C25" s="26"/>
      <c r="D25" s="34">
        <f>COUNTIF(Карточки!$L$2:$L$61,"готово")</f>
        <v>0</v>
      </c>
      <c r="E25" s="26"/>
      <c r="F25" s="26"/>
      <c r="G25" s="26"/>
      <c r="H25" s="26"/>
    </row>
  </sheetData>
  <conditionalFormatting sqref="G7:G11">
    <cfRule type="cellIs" dxfId="2" priority="2" operator="equal">
      <formula>"нет"</formula>
    </cfRule>
    <cfRule type="cellIs" dxfId="1" priority="3" operator="equal">
      <formula>"да"</formula>
    </cfRule>
  </conditionalFormatting>
  <conditionalFormatting sqref="H7:H11">
    <cfRule type="expression" dxfId="0" priority="4">
      <formula>LEFT(H7,3)="не "</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zoomScaleNormal="100" workbookViewId="0"/>
  </sheetViews>
  <sheetFormatPr defaultColWidth="8.7109375" defaultRowHeight="15" x14ac:dyDescent="0.25"/>
  <cols>
    <col min="1" max="1" width="30" style="18" customWidth="1"/>
    <col min="2" max="2" width="110" style="18" customWidth="1"/>
  </cols>
  <sheetData>
    <row r="1" spans="1:2" ht="17.25" customHeight="1" x14ac:dyDescent="0.25">
      <c r="A1" s="25" t="s">
        <v>1203</v>
      </c>
      <c r="B1" s="26"/>
    </row>
    <row r="2" spans="1:2" ht="15" customHeight="1" x14ac:dyDescent="0.25">
      <c r="A2" s="26"/>
      <c r="B2" s="26"/>
    </row>
    <row r="3" spans="1:2" ht="48" customHeight="1" x14ac:dyDescent="0.25">
      <c r="A3" s="36" t="s">
        <v>1204</v>
      </c>
      <c r="B3" s="11" t="s">
        <v>1205</v>
      </c>
    </row>
    <row r="4" spans="1:2" ht="48" customHeight="1" x14ac:dyDescent="0.25">
      <c r="A4" s="36" t="s">
        <v>1206</v>
      </c>
      <c r="B4" s="11" t="s">
        <v>1207</v>
      </c>
    </row>
    <row r="5" spans="1:2" ht="48" customHeight="1" x14ac:dyDescent="0.25">
      <c r="A5" s="36" t="s">
        <v>1208</v>
      </c>
      <c r="B5" s="11" t="s">
        <v>1209</v>
      </c>
    </row>
    <row r="6" spans="1:2" ht="48" customHeight="1" x14ac:dyDescent="0.25">
      <c r="A6" s="36" t="s">
        <v>1210</v>
      </c>
      <c r="B6" s="11" t="s">
        <v>1211</v>
      </c>
    </row>
    <row r="7" spans="1:2" ht="48" customHeight="1" x14ac:dyDescent="0.25">
      <c r="A7" s="36" t="s">
        <v>150</v>
      </c>
      <c r="B7" s="11" t="s">
        <v>1212</v>
      </c>
    </row>
    <row r="8" spans="1:2" ht="61.5" customHeight="1" x14ac:dyDescent="0.25">
      <c r="A8" s="36" t="s">
        <v>1213</v>
      </c>
      <c r="B8" s="11" t="s">
        <v>1214</v>
      </c>
    </row>
    <row r="9" spans="1:2" ht="48" customHeight="1" x14ac:dyDescent="0.25">
      <c r="A9" s="36" t="s">
        <v>1215</v>
      </c>
      <c r="B9" s="11" t="s">
        <v>1216</v>
      </c>
    </row>
    <row r="10" spans="1:2" ht="48" customHeight="1" x14ac:dyDescent="0.25">
      <c r="A10" s="36" t="s">
        <v>1171</v>
      </c>
      <c r="B10" s="11" t="s">
        <v>1217</v>
      </c>
    </row>
    <row r="11" spans="1:2" ht="48" customHeight="1" x14ac:dyDescent="0.25">
      <c r="A11" s="36" t="s">
        <v>1218</v>
      </c>
      <c r="B11" s="11" t="s">
        <v>1219</v>
      </c>
    </row>
    <row r="12" spans="1:2" ht="48" customHeight="1" x14ac:dyDescent="0.25">
      <c r="A12" s="36" t="s">
        <v>1220</v>
      </c>
      <c r="B12" s="11" t="s">
        <v>1221</v>
      </c>
    </row>
    <row r="13" spans="1:2" ht="48" customHeight="1" x14ac:dyDescent="0.25">
      <c r="A13" s="36" t="s">
        <v>1222</v>
      </c>
      <c r="B13" s="11" t="s">
        <v>1223</v>
      </c>
    </row>
    <row r="14" spans="1:2" ht="48" customHeight="1" x14ac:dyDescent="0.25">
      <c r="A14" s="36" t="s">
        <v>1224</v>
      </c>
      <c r="B14" s="11" t="s">
        <v>1225</v>
      </c>
    </row>
    <row r="15" spans="1:2" ht="61.5" customHeight="1" x14ac:dyDescent="0.25">
      <c r="A15" s="36" t="s">
        <v>1226</v>
      </c>
      <c r="B15" s="11" t="s">
        <v>1227</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3"/>
  <sheetViews>
    <sheetView zoomScaleNormal="100" workbookViewId="0"/>
  </sheetViews>
  <sheetFormatPr defaultColWidth="8.7109375" defaultRowHeight="15" x14ac:dyDescent="0.25"/>
  <cols>
    <col min="1" max="12" width="26" style="18" customWidth="1"/>
    <col min="14" max="14" width="10" style="18" customWidth="1"/>
    <col min="15" max="15" width="40" style="18" customWidth="1"/>
    <col min="16" max="16" width="18" style="18" customWidth="1"/>
    <col min="17" max="17" width="8" style="18" customWidth="1"/>
  </cols>
  <sheetData>
    <row r="1" spans="1:17" ht="15" customHeight="1" x14ac:dyDescent="0.25">
      <c r="A1" s="37" t="s">
        <v>1228</v>
      </c>
      <c r="B1" s="37" t="s">
        <v>141</v>
      </c>
      <c r="C1" s="37" t="s">
        <v>1229</v>
      </c>
      <c r="D1" s="37" t="s">
        <v>147</v>
      </c>
      <c r="E1" s="37" t="s">
        <v>148</v>
      </c>
      <c r="F1" s="37" t="s">
        <v>1230</v>
      </c>
      <c r="G1" s="37" t="s">
        <v>150</v>
      </c>
      <c r="H1" s="37" t="s">
        <v>1231</v>
      </c>
      <c r="I1" s="37" t="s">
        <v>1232</v>
      </c>
      <c r="J1" s="37" t="s">
        <v>1233</v>
      </c>
      <c r="K1" s="37" t="s">
        <v>1234</v>
      </c>
      <c r="L1" s="37" t="s">
        <v>1235</v>
      </c>
      <c r="M1" s="26"/>
      <c r="N1" s="37" t="s">
        <v>1023</v>
      </c>
      <c r="O1" s="37" t="s">
        <v>1173</v>
      </c>
      <c r="P1" s="37" t="s">
        <v>1236</v>
      </c>
      <c r="Q1" s="37" t="s">
        <v>1237</v>
      </c>
    </row>
    <row r="2" spans="1:17" ht="15" customHeight="1" x14ac:dyDescent="0.25">
      <c r="A2" s="35" t="s">
        <v>162</v>
      </c>
      <c r="B2" s="35" t="s">
        <v>178</v>
      </c>
      <c r="C2" s="35" t="s">
        <v>165</v>
      </c>
      <c r="D2" s="35" t="s">
        <v>37</v>
      </c>
      <c r="E2" s="35" t="s">
        <v>166</v>
      </c>
      <c r="F2" s="35" t="s">
        <v>62</v>
      </c>
      <c r="G2" s="35" t="s">
        <v>1238</v>
      </c>
      <c r="H2" s="35" t="s">
        <v>615</v>
      </c>
      <c r="I2" s="35" t="s">
        <v>193</v>
      </c>
      <c r="J2" s="35" t="s">
        <v>580</v>
      </c>
      <c r="K2" s="35" t="s">
        <v>1033</v>
      </c>
      <c r="L2" s="35" t="s">
        <v>62</v>
      </c>
      <c r="M2" s="26"/>
      <c r="N2" s="35">
        <v>0</v>
      </c>
      <c r="O2" s="35" t="s">
        <v>1239</v>
      </c>
      <c r="P2" s="35" t="s">
        <v>28</v>
      </c>
      <c r="Q2" s="35" t="s">
        <v>12</v>
      </c>
    </row>
    <row r="3" spans="1:17" ht="15" customHeight="1" x14ac:dyDescent="0.25">
      <c r="A3" s="35" t="s">
        <v>177</v>
      </c>
      <c r="B3" s="35" t="s">
        <v>163</v>
      </c>
      <c r="C3" s="35" t="s">
        <v>173</v>
      </c>
      <c r="D3" s="35" t="s">
        <v>175</v>
      </c>
      <c r="E3" s="35" t="s">
        <v>187</v>
      </c>
      <c r="F3" s="35" t="s">
        <v>12</v>
      </c>
      <c r="G3" s="35" t="s">
        <v>1240</v>
      </c>
      <c r="H3" s="35" t="s">
        <v>577</v>
      </c>
      <c r="I3" s="35" t="s">
        <v>1241</v>
      </c>
      <c r="J3" s="35" t="s">
        <v>617</v>
      </c>
      <c r="K3" s="35" t="s">
        <v>1242</v>
      </c>
      <c r="L3" s="35" t="s">
        <v>12</v>
      </c>
      <c r="M3" s="26"/>
      <c r="N3" s="35">
        <v>1</v>
      </c>
      <c r="O3" s="35" t="s">
        <v>1243</v>
      </c>
      <c r="P3" s="35" t="s">
        <v>1244</v>
      </c>
      <c r="Q3" s="35" t="s">
        <v>12</v>
      </c>
    </row>
    <row r="4" spans="1:17" ht="15" customHeight="1" x14ac:dyDescent="0.25">
      <c r="A4" s="35" t="s">
        <v>1195</v>
      </c>
      <c r="B4" s="26"/>
      <c r="C4" s="35" t="s">
        <v>180</v>
      </c>
      <c r="D4" s="35" t="s">
        <v>1245</v>
      </c>
      <c r="E4" s="35" t="s">
        <v>1246</v>
      </c>
      <c r="F4" s="26"/>
      <c r="G4" s="35" t="s">
        <v>1247</v>
      </c>
      <c r="H4" s="35" t="s">
        <v>583</v>
      </c>
      <c r="I4" s="26"/>
      <c r="J4" s="26"/>
      <c r="K4" s="35" t="s">
        <v>1064</v>
      </c>
      <c r="L4" s="35" t="s">
        <v>536</v>
      </c>
      <c r="M4" s="26"/>
      <c r="N4" s="35">
        <v>2</v>
      </c>
      <c r="O4" s="35" t="s">
        <v>1248</v>
      </c>
      <c r="P4" s="35" t="s">
        <v>1249</v>
      </c>
      <c r="Q4" s="35" t="s">
        <v>12</v>
      </c>
    </row>
    <row r="5" spans="1:17" ht="15" customHeight="1" x14ac:dyDescent="0.25">
      <c r="A5" s="26"/>
      <c r="B5" s="26"/>
      <c r="C5" s="35" t="s">
        <v>174</v>
      </c>
      <c r="D5" s="26"/>
      <c r="E5" s="26"/>
      <c r="F5" s="26"/>
      <c r="G5" s="35" t="s">
        <v>167</v>
      </c>
      <c r="H5" s="35" t="s">
        <v>596</v>
      </c>
      <c r="I5" s="26"/>
      <c r="J5" s="26"/>
      <c r="K5" s="35" t="s">
        <v>1250</v>
      </c>
      <c r="L5" s="26"/>
      <c r="M5" s="26"/>
      <c r="N5" s="35">
        <v>3</v>
      </c>
      <c r="O5" s="35" t="s">
        <v>1251</v>
      </c>
      <c r="P5" s="35" t="s">
        <v>1252</v>
      </c>
      <c r="Q5" s="35" t="s">
        <v>12</v>
      </c>
    </row>
    <row r="6" spans="1:17" ht="15" customHeight="1" x14ac:dyDescent="0.25">
      <c r="A6" s="26"/>
      <c r="B6" s="26"/>
      <c r="C6" s="35" t="s">
        <v>170</v>
      </c>
      <c r="D6" s="26"/>
      <c r="E6" s="26"/>
      <c r="F6" s="26"/>
      <c r="G6" s="35" t="s">
        <v>1253</v>
      </c>
      <c r="H6" s="35" t="s">
        <v>601</v>
      </c>
      <c r="I6" s="26"/>
      <c r="J6" s="26"/>
      <c r="K6" s="26"/>
      <c r="L6" s="26"/>
      <c r="M6" s="26"/>
      <c r="N6" s="35">
        <v>4</v>
      </c>
      <c r="O6" s="35" t="s">
        <v>1193</v>
      </c>
      <c r="P6" s="35" t="s">
        <v>1254</v>
      </c>
      <c r="Q6" s="35" t="s">
        <v>62</v>
      </c>
    </row>
    <row r="7" spans="1:17" ht="15" customHeight="1" x14ac:dyDescent="0.25">
      <c r="A7" s="26"/>
      <c r="B7" s="26"/>
      <c r="C7" s="26"/>
      <c r="D7" s="26"/>
      <c r="E7" s="26"/>
      <c r="F7" s="26"/>
      <c r="G7" s="35" t="s">
        <v>1255</v>
      </c>
      <c r="H7" s="26"/>
      <c r="I7" s="26"/>
      <c r="J7" s="26"/>
      <c r="K7" s="26"/>
      <c r="L7" s="26"/>
      <c r="M7" s="26"/>
      <c r="N7" s="35">
        <v>5</v>
      </c>
      <c r="O7" s="35" t="s">
        <v>1256</v>
      </c>
      <c r="P7" s="35" t="s">
        <v>1257</v>
      </c>
      <c r="Q7" s="35" t="s">
        <v>12</v>
      </c>
    </row>
    <row r="8" spans="1:17" ht="15" customHeight="1" x14ac:dyDescent="0.25">
      <c r="A8" s="26"/>
      <c r="B8" s="26"/>
      <c r="C8" s="26"/>
      <c r="D8" s="26"/>
      <c r="E8" s="26"/>
      <c r="F8" s="26"/>
      <c r="G8" s="35" t="s">
        <v>1258</v>
      </c>
      <c r="H8" s="26"/>
      <c r="I8" s="26"/>
      <c r="J8" s="26"/>
      <c r="K8" s="26"/>
      <c r="L8" s="26"/>
      <c r="M8" s="26"/>
      <c r="N8" s="35">
        <v>6</v>
      </c>
      <c r="O8" s="35" t="s">
        <v>1194</v>
      </c>
      <c r="P8" s="35" t="s">
        <v>1259</v>
      </c>
      <c r="Q8" s="35" t="s">
        <v>62</v>
      </c>
    </row>
    <row r="9" spans="1:17" ht="15" customHeight="1" x14ac:dyDescent="0.25">
      <c r="A9" s="26"/>
      <c r="B9" s="26"/>
      <c r="C9" s="26"/>
      <c r="D9" s="26"/>
      <c r="E9" s="26"/>
      <c r="F9" s="26"/>
      <c r="G9" s="35" t="s">
        <v>1260</v>
      </c>
      <c r="H9" s="26"/>
      <c r="I9" s="26"/>
      <c r="J9" s="26"/>
      <c r="K9" s="26"/>
      <c r="L9" s="26"/>
      <c r="M9" s="26"/>
      <c r="N9" s="35">
        <v>7</v>
      </c>
      <c r="O9" s="35" t="s">
        <v>1261</v>
      </c>
      <c r="P9" s="35" t="s">
        <v>1262</v>
      </c>
      <c r="Q9" s="35" t="s">
        <v>12</v>
      </c>
    </row>
    <row r="10" spans="1:17" ht="15" customHeight="1" x14ac:dyDescent="0.25">
      <c r="A10" s="26"/>
      <c r="B10" s="26"/>
      <c r="C10" s="26"/>
      <c r="D10" s="26"/>
      <c r="E10" s="26"/>
      <c r="F10" s="26"/>
      <c r="G10" s="26"/>
      <c r="H10" s="26"/>
      <c r="I10" s="26"/>
      <c r="J10" s="26"/>
      <c r="K10" s="26"/>
      <c r="L10" s="26"/>
      <c r="M10" s="26"/>
      <c r="N10" s="35">
        <v>8</v>
      </c>
      <c r="O10" s="35" t="s">
        <v>1196</v>
      </c>
      <c r="P10" s="35" t="s">
        <v>1263</v>
      </c>
      <c r="Q10" s="35" t="s">
        <v>62</v>
      </c>
    </row>
    <row r="11" spans="1:17" ht="15" customHeight="1" x14ac:dyDescent="0.25">
      <c r="A11" s="26"/>
      <c r="B11" s="26"/>
      <c r="C11" s="26"/>
      <c r="D11" s="26"/>
      <c r="E11" s="26"/>
      <c r="F11" s="26"/>
      <c r="G11" s="26"/>
      <c r="H11" s="26"/>
      <c r="I11" s="26"/>
      <c r="J11" s="26"/>
      <c r="K11" s="26"/>
      <c r="L11" s="26"/>
      <c r="M11" s="26"/>
      <c r="N11" s="35">
        <v>9</v>
      </c>
      <c r="O11" s="35" t="s">
        <v>1264</v>
      </c>
      <c r="P11" s="35" t="s">
        <v>1265</v>
      </c>
      <c r="Q11" s="35" t="s">
        <v>12</v>
      </c>
    </row>
    <row r="12" spans="1:17" ht="15" customHeight="1" x14ac:dyDescent="0.25">
      <c r="A12" s="26"/>
      <c r="B12" s="26"/>
      <c r="C12" s="26"/>
      <c r="D12" s="26"/>
      <c r="E12" s="26"/>
      <c r="F12" s="26"/>
      <c r="G12" s="26"/>
      <c r="H12" s="26"/>
      <c r="I12" s="26"/>
      <c r="J12" s="26"/>
      <c r="K12" s="26"/>
      <c r="L12" s="26"/>
      <c r="M12" s="26"/>
      <c r="N12" s="26"/>
      <c r="O12" s="26"/>
      <c r="P12" s="26"/>
      <c r="Q12" s="26"/>
    </row>
    <row r="13" spans="1:17" ht="15" customHeight="1" x14ac:dyDescent="0.25">
      <c r="A13" s="26"/>
      <c r="B13" s="26"/>
      <c r="C13" s="26"/>
      <c r="D13" s="26"/>
      <c r="E13" s="26"/>
      <c r="F13" s="26"/>
      <c r="G13" s="26"/>
      <c r="H13" s="26"/>
      <c r="I13" s="26"/>
      <c r="J13" s="26"/>
      <c r="K13" s="26"/>
      <c r="L13" s="26"/>
      <c r="M13" s="26"/>
      <c r="N13" s="33" t="s">
        <v>1266</v>
      </c>
      <c r="O13" s="26"/>
      <c r="P13" s="26"/>
      <c r="Q13" s="2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Старт</vt:lpstr>
      <vt:lpstr>К Reddit</vt:lpstr>
      <vt:lpstr>Карточки</vt:lpstr>
      <vt:lpstr>Тексты</vt:lpstr>
      <vt:lpstr>Места</vt:lpstr>
      <vt:lpstr>Картинки</vt:lpstr>
      <vt:lpstr>Источники</vt:lpstr>
      <vt:lpstr>Кандидаты</vt:lpstr>
      <vt:lpstr>Сводка</vt:lpstr>
      <vt:lpstr>Читай меня</vt:lpstr>
      <vt:lpstr>Списки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Артём Куликов</cp:lastModifiedBy>
  <cp:revision>0</cp:revision>
  <dcterms:created xsi:type="dcterms:W3CDTF">2026-10-14T20:44:04Z</dcterms:created>
  <dcterms:modified xsi:type="dcterms:W3CDTF">2026-10-19T21:27:55Z</dcterms:modified>
  <dc:language>en-US</dc:language>
</cp:coreProperties>
</file>